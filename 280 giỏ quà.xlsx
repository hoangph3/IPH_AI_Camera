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16" windowHeight="9168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L22" i="1"/>
  <c r="H227" i="1"/>
  <c r="L8" i="1"/>
  <c r="L6" i="1"/>
  <c r="H170" i="1"/>
  <c r="H81" i="1"/>
  <c r="G146" i="1"/>
  <c r="L5" i="1"/>
  <c r="L25" i="1"/>
  <c r="L3" i="1"/>
  <c r="L11" i="1"/>
  <c r="L10" i="1"/>
  <c r="L9" i="1"/>
  <c r="L23" i="1"/>
  <c r="H59" i="1"/>
  <c r="F125" i="1"/>
  <c r="L2" i="1"/>
  <c r="L28" i="1"/>
  <c r="L27" i="1"/>
  <c r="L26" i="1"/>
  <c r="L7" i="1"/>
  <c r="F104" i="1"/>
  <c r="L24" i="1"/>
  <c r="K32" i="1"/>
  <c r="L21" i="1"/>
  <c r="L20" i="1"/>
  <c r="L15" i="1"/>
  <c r="L14" i="1"/>
  <c r="L13" i="1"/>
  <c r="L12" i="1"/>
  <c r="H2" i="2"/>
  <c r="L16" i="1"/>
  <c r="F23" i="1"/>
  <c r="H39" i="1"/>
  <c r="L17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" i="1"/>
  <c r="O31" i="1" l="1"/>
  <c r="O34" i="1" s="1"/>
  <c r="P31" i="1"/>
</calcChain>
</file>

<file path=xl/sharedStrings.xml><?xml version="1.0" encoding="utf-8"?>
<sst xmlns="http://schemas.openxmlformats.org/spreadsheetml/2006/main" count="356" uniqueCount="63">
  <si>
    <t>Bánh qui bơ Leibniz 200g</t>
  </si>
  <si>
    <t>Thanh</t>
  </si>
  <si>
    <t>200g/gói</t>
  </si>
  <si>
    <t>Bánh quy Julies Assorted Biscuits 150g HT Chữ nhật nhỏ</t>
  </si>
  <si>
    <t>Hộp</t>
  </si>
  <si>
    <t>150g/hộp</t>
  </si>
  <si>
    <t>Bia lon 333 (PAT2)</t>
  </si>
  <si>
    <t>Thùng</t>
  </si>
  <si>
    <t>330ml/Hộp</t>
  </si>
  <si>
    <t>Cà phê hòa tan Tchibo Gold - 100g (767599)</t>
  </si>
  <si>
    <t>Lọ</t>
  </si>
  <si>
    <t>100g/hộp</t>
  </si>
  <si>
    <t>Hộp mica đựng quà tết</t>
  </si>
  <si>
    <t>Cái</t>
  </si>
  <si>
    <t>Bánh Chocopie 12P x 8</t>
  </si>
  <si>
    <t>396g/hộp</t>
  </si>
  <si>
    <t>Bánh CHOCOPIE hộp 12 cái 435.6g</t>
  </si>
  <si>
    <t>435.6g/hộp</t>
  </si>
  <si>
    <t>Bánh Goute 8P</t>
  </si>
  <si>
    <t>288g</t>
  </si>
  <si>
    <t>Bánh Danisa Butter Cookies-12x454G</t>
  </si>
  <si>
    <t>454G/Hộp</t>
  </si>
  <si>
    <t>Bánh Danisa Butter Cookies-6x681G</t>
  </si>
  <si>
    <t>681g/Hộp</t>
  </si>
  <si>
    <t>Bánh nhân mứt Daka dâu hộp 350g</t>
  </si>
  <si>
    <t>350g/Hộp</t>
  </si>
  <si>
    <t>Bánh Quế Xốp Kem Sôcôla Go Choco Rollz 250g x 3</t>
  </si>
  <si>
    <t>Set</t>
  </si>
  <si>
    <t>250g/Hộp</t>
  </si>
  <si>
    <t>Bánh gạo An - Tảo 14P 10Y21 x 4 gói</t>
  </si>
  <si>
    <t>Gói</t>
  </si>
  <si>
    <t>800g/Bịch</t>
  </si>
  <si>
    <t>Bánh Quy Cream-O 372g x 10 hộp</t>
  </si>
  <si>
    <t>Bịch</t>
  </si>
  <si>
    <t>372g/Hộp</t>
  </si>
  <si>
    <t>Bánh Roma Malkist Assorted Crackers-Box 10 x 312G(</t>
  </si>
  <si>
    <t>312g/hộp</t>
  </si>
  <si>
    <t>Kẹo ngậm Crytal Shoe vị trái cây 240g</t>
  </si>
  <si>
    <t>240g/Gói</t>
  </si>
  <si>
    <t>Kẹo Kopiko Cappuccino - Bag 12 x 350G(Normal)</t>
  </si>
  <si>
    <t>Bag</t>
  </si>
  <si>
    <t>350g/gói</t>
  </si>
  <si>
    <t>Kẹo Kopiko Coffee - Bag 24x41</t>
  </si>
  <si>
    <t>140g/gói</t>
  </si>
  <si>
    <t>Kẹo SCL có nhân Ferrero Rocher 300g 24 viên (4)</t>
  </si>
  <si>
    <t>200g/hộp</t>
  </si>
  <si>
    <t>Kẹo SCL Ferrero Rocher Geschenk box</t>
  </si>
  <si>
    <t>KIT KAT THANH 4F 35G (B/F) COCOA</t>
  </si>
  <si>
    <t>35g/thanh</t>
  </si>
  <si>
    <t>KITKAT THANH CHUNKY BANH QUY KEM 38G</t>
  </si>
  <si>
    <t>38g/thanh</t>
  </si>
  <si>
    <t>TRA LIPTON ICE TEA CHANH R0221 30X16X12G</t>
  </si>
  <si>
    <t>192g/Hộp</t>
  </si>
  <si>
    <t>LIPTON TRA NHAN VANG 36X100X2G</t>
  </si>
  <si>
    <t>Trà Basilur Island Of Tea - Gold</t>
  </si>
  <si>
    <t>100g/Hộp</t>
  </si>
  <si>
    <t>Cà phê G7 3in1 - Hộp 21</t>
  </si>
  <si>
    <t>336g/Hộp</t>
  </si>
  <si>
    <t>Tinh chất Yến sào Khánh Hoà Sanvinest dành cho trẻ em - Túi 20ml</t>
  </si>
  <si>
    <t>Túi</t>
  </si>
  <si>
    <t>20ml/tui</t>
  </si>
  <si>
    <t>sl</t>
  </si>
  <si>
    <t>sl còn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</si>
</sst>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9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theme="1"/>
      <name val="Microsoft Sans Serif"/>
      <family val="2"/>
    </font>
    <font>
      <sz val="12"/>
      <color rgb="FF000000"/>
      <name val="Microsoft Sans Serif"/>
      <family val="2"/>
    </font>
    <font>
      <sz val="12"/>
      <color rgb="FFFF0000"/>
      <name val="Microsoft Sans Serif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4" fillId="2" borderId="3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4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4" xfId="0" applyFont="1" applyFill="1" applyBorder="1" applyAlignment="1">
      <alignment horizontal="right" vertical="center"/>
    </xf>
    <xf numFmtId="169" fontId="0" fillId="0" borderId="0" xfId="1" applyNumberFormat="1" applyFont="1"/>
    <xf numFmtId="169" fontId="0" fillId="0" borderId="0" xfId="0" applyNumberFormat="1"/>
    <xf numFmtId="0" fontId="4" fillId="3" borderId="1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horizontal="right" vertical="center"/>
    </xf>
    <xf numFmtId="0" fontId="0" fillId="3" borderId="0" xfId="0" applyFill="1"/>
    <xf numFmtId="0" fontId="4" fillId="2" borderId="0" xfId="0" applyFont="1" applyFill="1" applyBorder="1" applyAlignment="1">
      <alignment horizontal="right" vertical="center"/>
    </xf>
    <xf numFmtId="0" fontId="2" fillId="3" borderId="0" xfId="0" applyFont="1" applyFill="1"/>
    <xf numFmtId="0" fontId="5" fillId="3" borderId="2" xfId="0" applyFont="1" applyFill="1" applyBorder="1" applyAlignment="1">
      <alignment horizontal="right" vertical="center"/>
    </xf>
    <xf numFmtId="0" fontId="5" fillId="3" borderId="4" xfId="0" applyFont="1" applyFill="1" applyBorder="1" applyAlignment="1">
      <alignment horizontal="right" vertical="center"/>
    </xf>
    <xf numFmtId="0" fontId="5" fillId="3" borderId="3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169" fontId="0" fillId="3" borderId="0" xfId="1" applyNumberFormat="1" applyFont="1" applyFill="1"/>
    <xf numFmtId="0" fontId="4" fillId="3" borderId="0" xfId="0" applyFont="1" applyFill="1" applyBorder="1" applyAlignment="1">
      <alignment horizontal="right" vertical="center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right" vertical="center"/>
    </xf>
    <xf numFmtId="0" fontId="3" fillId="3" borderId="3" xfId="0" applyFont="1" applyFill="1" applyBorder="1" applyAlignment="1">
      <alignment vertical="center"/>
    </xf>
    <xf numFmtId="0" fontId="0" fillId="3" borderId="0" xfId="0" applyFont="1" applyFill="1"/>
    <xf numFmtId="169" fontId="0" fillId="3" borderId="0" xfId="0" applyNumberFormat="1" applyFill="1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 vertical="center"/>
    </xf>
    <xf numFmtId="169" fontId="0" fillId="2" borderId="0" xfId="1" applyNumberFormat="1" applyFont="1" applyFill="1"/>
    <xf numFmtId="0" fontId="0" fillId="2" borderId="0" xfId="0" applyFill="1"/>
    <xf numFmtId="0" fontId="4" fillId="3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6" fontId="5" fillId="3" borderId="4" xfId="0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2"/>
  <sheetViews>
    <sheetView tabSelected="1" zoomScale="75" zoomScaleNormal="75" workbookViewId="0">
      <selection activeCell="Q16" sqref="Q16"/>
    </sheetView>
  </sheetViews>
  <sheetFormatPr defaultRowHeight="14.4" x14ac:dyDescent="0.3"/>
  <cols>
    <col min="1" max="1" width="33" style="12" customWidth="1"/>
    <col min="2" max="2" width="8.88671875" style="12"/>
    <col min="3" max="3" width="13.21875" style="12" customWidth="1"/>
    <col min="4" max="4" width="11.44140625" style="12" customWidth="1"/>
    <col min="5" max="5" width="11.109375" style="19" bestFit="1" customWidth="1"/>
    <col min="6" max="7" width="10.21875" style="12" bestFit="1" customWidth="1"/>
    <col min="8" max="8" width="12.88671875" customWidth="1"/>
    <col min="9" max="9" width="40.88671875" style="12" customWidth="1"/>
    <col min="10" max="10" width="8.88671875" style="12"/>
    <col min="11" max="11" width="10.88671875" style="12" customWidth="1"/>
    <col min="12" max="12" width="14.5546875" style="14" customWidth="1"/>
    <col min="13" max="13" width="8.88671875" style="12"/>
    <col min="14" max="14" width="10.109375" style="7" bestFit="1" customWidth="1"/>
    <col min="15" max="15" width="14.6640625" customWidth="1"/>
    <col min="16" max="16" width="11.88671875" customWidth="1"/>
  </cols>
  <sheetData>
    <row r="1" spans="1:16" ht="15" thickBot="1" x14ac:dyDescent="0.35">
      <c r="L1" s="14" t="s">
        <v>62</v>
      </c>
    </row>
    <row r="2" spans="1:16" ht="16.2" thickBot="1" x14ac:dyDescent="0.35">
      <c r="A2" s="27"/>
      <c r="B2" s="28"/>
      <c r="C2" s="29"/>
      <c r="D2" s="29"/>
      <c r="E2" s="30"/>
      <c r="I2" s="9" t="s">
        <v>14</v>
      </c>
      <c r="J2" s="10" t="s">
        <v>4</v>
      </c>
      <c r="K2" s="11">
        <v>200</v>
      </c>
      <c r="L2" s="15">
        <f>K2-100-100</f>
        <v>0</v>
      </c>
      <c r="M2" s="11" t="s">
        <v>15</v>
      </c>
      <c r="N2" s="7">
        <v>40741</v>
      </c>
      <c r="O2" s="8">
        <f>N2*K2</f>
        <v>8148200</v>
      </c>
      <c r="P2">
        <f ca="1">SUMIF($A$19:$B$269,I2,$C$2:$C$313)</f>
        <v>10</v>
      </c>
    </row>
    <row r="3" spans="1:16" ht="16.2" thickBot="1" x14ac:dyDescent="0.35">
      <c r="A3" s="1"/>
      <c r="B3" s="2"/>
      <c r="C3" s="3"/>
      <c r="D3" s="30"/>
      <c r="E3" s="30"/>
      <c r="I3" s="4" t="s">
        <v>16</v>
      </c>
      <c r="J3" s="5" t="s">
        <v>4</v>
      </c>
      <c r="K3" s="6">
        <v>73</v>
      </c>
      <c r="L3" s="16">
        <f>K3-23-50</f>
        <v>0</v>
      </c>
      <c r="M3" s="6" t="s">
        <v>17</v>
      </c>
      <c r="N3" s="7">
        <v>40000</v>
      </c>
      <c r="O3" s="8">
        <f t="shared" ref="O3:O28" si="0">N3*K3</f>
        <v>2920000</v>
      </c>
    </row>
    <row r="4" spans="1:16" ht="16.2" thickBot="1" x14ac:dyDescent="0.35">
      <c r="A4" s="1"/>
      <c r="B4" s="2"/>
      <c r="C4" s="3"/>
      <c r="D4" s="30"/>
      <c r="E4" s="30"/>
      <c r="I4" s="4" t="s">
        <v>18</v>
      </c>
      <c r="J4" s="5" t="s">
        <v>4</v>
      </c>
      <c r="K4" s="6">
        <v>7</v>
      </c>
      <c r="L4" s="34">
        <v>0</v>
      </c>
      <c r="M4" s="6" t="s">
        <v>19</v>
      </c>
      <c r="N4" s="7">
        <v>36000</v>
      </c>
      <c r="O4" s="8">
        <f t="shared" si="0"/>
        <v>252000</v>
      </c>
    </row>
    <row r="5" spans="1:16" ht="16.2" thickBot="1" x14ac:dyDescent="0.35">
      <c r="A5" s="1"/>
      <c r="B5" s="2"/>
      <c r="C5" s="3"/>
      <c r="D5" s="30"/>
      <c r="E5" s="30"/>
      <c r="I5" s="17" t="s">
        <v>20</v>
      </c>
      <c r="J5" s="18" t="s">
        <v>4</v>
      </c>
      <c r="K5" s="16">
        <v>242</v>
      </c>
      <c r="L5" s="16">
        <f>K5-77-77-23-3-54-8</f>
        <v>0</v>
      </c>
      <c r="M5" s="6" t="s">
        <v>21</v>
      </c>
      <c r="N5" s="7">
        <v>137119</v>
      </c>
      <c r="O5" s="8">
        <f t="shared" si="0"/>
        <v>33182798</v>
      </c>
    </row>
    <row r="6" spans="1:16" ht="16.2" thickBot="1" x14ac:dyDescent="0.35">
      <c r="A6" s="1"/>
      <c r="B6" s="2"/>
      <c r="C6" s="3"/>
      <c r="D6" s="30"/>
      <c r="E6" s="30"/>
      <c r="I6" s="4" t="s">
        <v>22</v>
      </c>
      <c r="J6" s="5" t="s">
        <v>4</v>
      </c>
      <c r="K6" s="6">
        <v>38</v>
      </c>
      <c r="L6" s="16">
        <f>38-3-35</f>
        <v>0</v>
      </c>
      <c r="M6" s="6" t="s">
        <v>23</v>
      </c>
      <c r="N6" s="7">
        <v>158333</v>
      </c>
      <c r="O6" s="8">
        <f t="shared" si="0"/>
        <v>6016654</v>
      </c>
    </row>
    <row r="7" spans="1:16" ht="16.2" thickBot="1" x14ac:dyDescent="0.35">
      <c r="A7" s="1"/>
      <c r="B7" s="2"/>
      <c r="C7" s="3"/>
      <c r="D7" s="30"/>
      <c r="E7" s="30"/>
      <c r="I7" s="17" t="s">
        <v>0</v>
      </c>
      <c r="J7" s="18" t="s">
        <v>1</v>
      </c>
      <c r="K7" s="16">
        <v>280</v>
      </c>
      <c r="L7" s="16">
        <f>280-77-77-3-100-23</f>
        <v>0</v>
      </c>
      <c r="M7" s="6" t="s">
        <v>2</v>
      </c>
      <c r="N7" s="7">
        <v>50927</v>
      </c>
      <c r="O7" s="8">
        <f t="shared" si="0"/>
        <v>14259560</v>
      </c>
    </row>
    <row r="8" spans="1:16" ht="16.2" thickBot="1" x14ac:dyDescent="0.35">
      <c r="A8" s="1"/>
      <c r="B8" s="2"/>
      <c r="C8" s="3"/>
      <c r="D8" s="30"/>
      <c r="E8" s="30"/>
      <c r="F8" s="26"/>
      <c r="I8" s="4" t="s">
        <v>24</v>
      </c>
      <c r="J8" s="5" t="s">
        <v>4</v>
      </c>
      <c r="K8" s="6">
        <v>200</v>
      </c>
      <c r="L8" s="16">
        <f>K8-3-100-70-27</f>
        <v>0</v>
      </c>
      <c r="M8" s="6" t="s">
        <v>25</v>
      </c>
      <c r="N8" s="7">
        <v>40370</v>
      </c>
      <c r="O8" s="8">
        <f t="shared" si="0"/>
        <v>8074000</v>
      </c>
    </row>
    <row r="9" spans="1:16" ht="16.2" thickBot="1" x14ac:dyDescent="0.35">
      <c r="A9" s="1"/>
      <c r="B9" s="2"/>
      <c r="C9" s="3"/>
      <c r="D9" s="30"/>
      <c r="E9" s="30"/>
      <c r="I9" s="4" t="s">
        <v>26</v>
      </c>
      <c r="J9" s="5" t="s">
        <v>27</v>
      </c>
      <c r="K9" s="6">
        <v>10</v>
      </c>
      <c r="L9" s="16">
        <f>K9-3-7</f>
        <v>0</v>
      </c>
      <c r="M9" s="6" t="s">
        <v>28</v>
      </c>
      <c r="N9" s="7">
        <v>82000</v>
      </c>
      <c r="O9" s="8">
        <f t="shared" si="0"/>
        <v>820000</v>
      </c>
    </row>
    <row r="10" spans="1:16" ht="16.2" thickBot="1" x14ac:dyDescent="0.35">
      <c r="A10" s="1"/>
      <c r="B10" s="2"/>
      <c r="C10" s="3"/>
      <c r="D10" s="3"/>
      <c r="E10" s="30"/>
      <c r="I10" s="4" t="s">
        <v>29</v>
      </c>
      <c r="J10" s="5" t="s">
        <v>30</v>
      </c>
      <c r="K10" s="6">
        <v>70</v>
      </c>
      <c r="L10" s="16">
        <f>K10-3-54-13</f>
        <v>0</v>
      </c>
      <c r="M10" s="6" t="s">
        <v>31</v>
      </c>
      <c r="N10" s="7">
        <v>68000</v>
      </c>
      <c r="O10" s="8">
        <f t="shared" si="0"/>
        <v>4760000</v>
      </c>
    </row>
    <row r="11" spans="1:16" ht="16.2" thickBot="1" x14ac:dyDescent="0.35">
      <c r="A11" s="1"/>
      <c r="B11" s="2"/>
      <c r="C11" s="3"/>
      <c r="D11" s="30"/>
      <c r="E11" s="30"/>
      <c r="I11" s="4" t="s">
        <v>32</v>
      </c>
      <c r="J11" s="5" t="s">
        <v>33</v>
      </c>
      <c r="K11" s="6">
        <v>70</v>
      </c>
      <c r="L11" s="16">
        <f>K11-3-54-13</f>
        <v>0</v>
      </c>
      <c r="M11" s="6" t="s">
        <v>34</v>
      </c>
      <c r="N11" s="7">
        <v>93550</v>
      </c>
      <c r="O11" s="8">
        <f t="shared" si="0"/>
        <v>6548500</v>
      </c>
    </row>
    <row r="12" spans="1:16" ht="16.2" thickBot="1" x14ac:dyDescent="0.35">
      <c r="A12" s="1"/>
      <c r="B12" s="2"/>
      <c r="C12" s="3"/>
      <c r="D12" s="3"/>
      <c r="E12" s="30"/>
      <c r="I12" s="17" t="s">
        <v>3</v>
      </c>
      <c r="J12" s="18" t="s">
        <v>4</v>
      </c>
      <c r="K12" s="16">
        <v>280</v>
      </c>
      <c r="L12" s="16">
        <f>K12-77-77-23-3-100</f>
        <v>0</v>
      </c>
      <c r="M12" s="6" t="s">
        <v>5</v>
      </c>
      <c r="N12" s="7">
        <v>57777</v>
      </c>
      <c r="O12" s="8">
        <f t="shared" si="0"/>
        <v>16177560</v>
      </c>
    </row>
    <row r="13" spans="1:16" ht="16.2" thickBot="1" x14ac:dyDescent="0.35">
      <c r="A13" s="1"/>
      <c r="B13" s="2"/>
      <c r="C13" s="3"/>
      <c r="D13" s="3"/>
      <c r="E13" s="30"/>
      <c r="I13" s="17" t="s">
        <v>6</v>
      </c>
      <c r="J13" s="18" t="s">
        <v>7</v>
      </c>
      <c r="K13" s="16">
        <v>280</v>
      </c>
      <c r="L13" s="16">
        <f>K13-77-77-23-3-100</f>
        <v>0</v>
      </c>
      <c r="M13" s="6" t="s">
        <v>8</v>
      </c>
      <c r="N13" s="7">
        <v>239500</v>
      </c>
      <c r="O13" s="8">
        <f t="shared" si="0"/>
        <v>67060000</v>
      </c>
    </row>
    <row r="14" spans="1:16" ht="16.2" thickBot="1" x14ac:dyDescent="0.35">
      <c r="A14" s="1"/>
      <c r="B14" s="2"/>
      <c r="C14" s="3"/>
      <c r="D14" s="13"/>
      <c r="E14" s="30"/>
      <c r="I14" s="17" t="s">
        <v>9</v>
      </c>
      <c r="J14" s="18" t="s">
        <v>10</v>
      </c>
      <c r="K14" s="16">
        <v>280</v>
      </c>
      <c r="L14" s="16">
        <f>K14-77-77-23-3-100</f>
        <v>0</v>
      </c>
      <c r="M14" s="6" t="s">
        <v>11</v>
      </c>
      <c r="N14" s="7">
        <v>135463</v>
      </c>
      <c r="O14" s="8">
        <f t="shared" si="0"/>
        <v>37929640</v>
      </c>
    </row>
    <row r="15" spans="1:16" ht="16.2" thickBot="1" x14ac:dyDescent="0.35">
      <c r="A15" s="1"/>
      <c r="B15" s="2"/>
      <c r="C15" s="3"/>
      <c r="D15" s="13"/>
      <c r="E15" s="30"/>
      <c r="I15" s="17" t="s">
        <v>12</v>
      </c>
      <c r="J15" s="18" t="s">
        <v>13</v>
      </c>
      <c r="K15" s="16">
        <v>280</v>
      </c>
      <c r="L15" s="16">
        <f>K15-77-77-23-3-100</f>
        <v>0</v>
      </c>
      <c r="M15" s="6"/>
      <c r="N15" s="7">
        <v>160000</v>
      </c>
      <c r="O15" s="8">
        <f t="shared" si="0"/>
        <v>44800000</v>
      </c>
    </row>
    <row r="16" spans="1:16" ht="16.2" thickBot="1" x14ac:dyDescent="0.35">
      <c r="A16" s="1"/>
      <c r="B16" s="2"/>
      <c r="C16" s="3"/>
      <c r="D16" s="13"/>
      <c r="E16" s="30"/>
      <c r="I16" s="21" t="s">
        <v>35</v>
      </c>
      <c r="J16" s="22" t="s">
        <v>4</v>
      </c>
      <c r="K16" s="23">
        <v>103</v>
      </c>
      <c r="L16" s="23">
        <f>K16-77-23-3</f>
        <v>0</v>
      </c>
      <c r="M16" s="6" t="s">
        <v>36</v>
      </c>
      <c r="N16" s="7">
        <v>42550</v>
      </c>
      <c r="O16" s="8">
        <f t="shared" si="0"/>
        <v>4382650</v>
      </c>
    </row>
    <row r="17" spans="1:16" ht="16.2" thickBot="1" x14ac:dyDescent="0.35">
      <c r="A17" s="31"/>
      <c r="B17" s="31"/>
      <c r="C17" s="31"/>
      <c r="D17" s="31"/>
      <c r="E17" s="30"/>
      <c r="I17" s="21" t="s">
        <v>37</v>
      </c>
      <c r="J17" s="22" t="s">
        <v>30</v>
      </c>
      <c r="K17" s="23">
        <v>77</v>
      </c>
      <c r="L17" s="23">
        <f>K17-77</f>
        <v>0</v>
      </c>
      <c r="M17" s="6" t="s">
        <v>38</v>
      </c>
      <c r="N17" s="7">
        <v>47750</v>
      </c>
      <c r="O17" s="8">
        <f t="shared" si="0"/>
        <v>3676750</v>
      </c>
    </row>
    <row r="18" spans="1:16" ht="16.2" thickBot="1" x14ac:dyDescent="0.35">
      <c r="I18" s="21" t="s">
        <v>39</v>
      </c>
      <c r="J18" s="22" t="s">
        <v>40</v>
      </c>
      <c r="K18" s="23">
        <v>77</v>
      </c>
      <c r="L18" s="23">
        <v>0</v>
      </c>
      <c r="M18" s="6" t="s">
        <v>41</v>
      </c>
      <c r="N18" s="7">
        <v>23700</v>
      </c>
      <c r="O18" s="8">
        <f t="shared" si="0"/>
        <v>1824900</v>
      </c>
    </row>
    <row r="19" spans="1:16" ht="16.2" thickBot="1" x14ac:dyDescent="0.35">
      <c r="D19" s="26"/>
      <c r="I19" s="21" t="s">
        <v>42</v>
      </c>
      <c r="J19" s="22" t="s">
        <v>40</v>
      </c>
      <c r="K19" s="23">
        <v>23</v>
      </c>
      <c r="L19" s="23">
        <v>0</v>
      </c>
      <c r="M19" s="6" t="s">
        <v>43</v>
      </c>
      <c r="N19" s="7">
        <v>42000</v>
      </c>
      <c r="O19" s="8">
        <f t="shared" si="0"/>
        <v>966000</v>
      </c>
    </row>
    <row r="20" spans="1:16" ht="16.2" thickBot="1" x14ac:dyDescent="0.35">
      <c r="A20" s="4" t="s">
        <v>0</v>
      </c>
      <c r="B20" s="5" t="s">
        <v>1</v>
      </c>
      <c r="C20" s="6">
        <v>70</v>
      </c>
      <c r="D20" s="19">
        <v>50927</v>
      </c>
      <c r="I20" s="17" t="s">
        <v>44</v>
      </c>
      <c r="J20" s="18" t="s">
        <v>4</v>
      </c>
      <c r="K20" s="16">
        <v>280</v>
      </c>
      <c r="L20" s="16">
        <f>K20-77-77-23-3-100</f>
        <v>0</v>
      </c>
      <c r="M20" s="6" t="s">
        <v>45</v>
      </c>
      <c r="N20" s="7">
        <v>296296</v>
      </c>
      <c r="O20" s="8">
        <f t="shared" si="0"/>
        <v>82962880</v>
      </c>
    </row>
    <row r="21" spans="1:16" ht="16.2" thickBot="1" x14ac:dyDescent="0.35">
      <c r="A21" s="4" t="s">
        <v>3</v>
      </c>
      <c r="B21" s="5" t="s">
        <v>4</v>
      </c>
      <c r="C21" s="6">
        <v>70</v>
      </c>
      <c r="D21" s="19">
        <v>57777</v>
      </c>
      <c r="I21" s="17" t="s">
        <v>46</v>
      </c>
      <c r="J21" s="18" t="s">
        <v>4</v>
      </c>
      <c r="K21" s="16">
        <v>280</v>
      </c>
      <c r="L21" s="16">
        <f>K21-77-77-23-3-100</f>
        <v>0</v>
      </c>
      <c r="M21" s="6" t="s">
        <v>45</v>
      </c>
      <c r="N21" s="7">
        <v>316366</v>
      </c>
      <c r="O21" s="8">
        <f t="shared" si="0"/>
        <v>88582480</v>
      </c>
    </row>
    <row r="22" spans="1:16" ht="16.2" thickBot="1" x14ac:dyDescent="0.35">
      <c r="A22" s="4" t="s">
        <v>6</v>
      </c>
      <c r="B22" s="5" t="s">
        <v>7</v>
      </c>
      <c r="C22" s="6">
        <v>70</v>
      </c>
      <c r="D22" s="19">
        <v>239500</v>
      </c>
      <c r="I22" s="4" t="s">
        <v>47</v>
      </c>
      <c r="J22" s="5" t="s">
        <v>4</v>
      </c>
      <c r="K22" s="6">
        <v>54</v>
      </c>
      <c r="L22" s="16">
        <f>K22-3-50-1</f>
        <v>0</v>
      </c>
      <c r="M22" s="6" t="s">
        <v>48</v>
      </c>
      <c r="N22" s="7">
        <v>355000</v>
      </c>
      <c r="O22" s="8">
        <f t="shared" si="0"/>
        <v>19170000</v>
      </c>
    </row>
    <row r="23" spans="1:16" ht="16.2" thickBot="1" x14ac:dyDescent="0.35">
      <c r="A23" s="4" t="s">
        <v>9</v>
      </c>
      <c r="B23" s="5" t="s">
        <v>10</v>
      </c>
      <c r="C23" s="6">
        <v>70</v>
      </c>
      <c r="D23" s="19">
        <v>135463</v>
      </c>
      <c r="F23" s="26">
        <f>SUM(D20:D34)</f>
        <v>2338080</v>
      </c>
      <c r="I23" s="17" t="s">
        <v>49</v>
      </c>
      <c r="J23" s="18" t="s">
        <v>4</v>
      </c>
      <c r="K23" s="16">
        <v>226</v>
      </c>
      <c r="L23" s="16">
        <f>K23-77-23-100-23-3</f>
        <v>0</v>
      </c>
      <c r="M23" s="6" t="s">
        <v>50</v>
      </c>
      <c r="N23" s="7">
        <v>420000</v>
      </c>
      <c r="O23" s="8">
        <f t="shared" si="0"/>
        <v>94920000</v>
      </c>
    </row>
    <row r="24" spans="1:16" ht="16.2" thickBot="1" x14ac:dyDescent="0.35">
      <c r="A24" s="4" t="s">
        <v>12</v>
      </c>
      <c r="B24" s="5" t="s">
        <v>13</v>
      </c>
      <c r="C24" s="6">
        <v>70</v>
      </c>
      <c r="D24" s="19">
        <v>160000</v>
      </c>
      <c r="F24" s="26"/>
      <c r="I24" s="4" t="s">
        <v>51</v>
      </c>
      <c r="J24" s="5" t="s">
        <v>4</v>
      </c>
      <c r="K24" s="6">
        <v>226</v>
      </c>
      <c r="L24" s="16">
        <f>K24-3-100-100-23</f>
        <v>0</v>
      </c>
      <c r="M24" s="6" t="s">
        <v>52</v>
      </c>
      <c r="N24" s="7">
        <v>30000</v>
      </c>
      <c r="O24" s="8">
        <f t="shared" si="0"/>
        <v>6780000</v>
      </c>
    </row>
    <row r="25" spans="1:16" ht="16.2" thickBot="1" x14ac:dyDescent="0.35">
      <c r="A25" s="4" t="s">
        <v>44</v>
      </c>
      <c r="B25" s="5" t="s">
        <v>4</v>
      </c>
      <c r="C25" s="6">
        <v>70</v>
      </c>
      <c r="D25" s="19">
        <v>296296</v>
      </c>
      <c r="I25" s="17" t="s">
        <v>53</v>
      </c>
      <c r="J25" s="18" t="s">
        <v>4</v>
      </c>
      <c r="K25" s="16">
        <v>54</v>
      </c>
      <c r="L25" s="16">
        <f>K25-23-23-8</f>
        <v>0</v>
      </c>
      <c r="M25" s="6" t="s">
        <v>45</v>
      </c>
      <c r="N25" s="7">
        <v>92000</v>
      </c>
      <c r="O25" s="8">
        <f t="shared" si="0"/>
        <v>4968000</v>
      </c>
    </row>
    <row r="26" spans="1:16" ht="16.2" thickBot="1" x14ac:dyDescent="0.35">
      <c r="A26" s="4" t="s">
        <v>46</v>
      </c>
      <c r="B26" s="5" t="s">
        <v>4</v>
      </c>
      <c r="C26" s="6">
        <v>70</v>
      </c>
      <c r="D26" s="19">
        <v>316366</v>
      </c>
      <c r="I26" s="17" t="s">
        <v>54</v>
      </c>
      <c r="J26" s="18" t="s">
        <v>4</v>
      </c>
      <c r="K26" s="16">
        <v>280</v>
      </c>
      <c r="L26" s="16">
        <f>K26-77-77-100-23-3</f>
        <v>0</v>
      </c>
      <c r="M26" s="6" t="s">
        <v>55</v>
      </c>
      <c r="N26" s="7">
        <v>65932</v>
      </c>
      <c r="O26" s="8">
        <f t="shared" si="0"/>
        <v>18460960</v>
      </c>
    </row>
    <row r="27" spans="1:16" ht="16.2" thickBot="1" x14ac:dyDescent="0.35">
      <c r="A27" s="4" t="s">
        <v>54</v>
      </c>
      <c r="B27" s="5" t="s">
        <v>4</v>
      </c>
      <c r="C27" s="6">
        <v>70</v>
      </c>
      <c r="D27" s="6">
        <v>355000</v>
      </c>
      <c r="I27" s="17" t="s">
        <v>56</v>
      </c>
      <c r="J27" s="18" t="s">
        <v>4</v>
      </c>
      <c r="K27" s="16">
        <v>280</v>
      </c>
      <c r="L27" s="16">
        <f>K27-77-77-23-100-3</f>
        <v>0</v>
      </c>
      <c r="M27" s="6" t="s">
        <v>57</v>
      </c>
      <c r="N27" s="7">
        <v>173430</v>
      </c>
      <c r="O27" s="8">
        <f t="shared" si="0"/>
        <v>48560400</v>
      </c>
    </row>
    <row r="28" spans="1:16" ht="16.2" thickBot="1" x14ac:dyDescent="0.35">
      <c r="A28" s="4" t="s">
        <v>56</v>
      </c>
      <c r="B28" s="5" t="s">
        <v>4</v>
      </c>
      <c r="C28" s="6">
        <v>70</v>
      </c>
      <c r="D28" s="19">
        <v>65932</v>
      </c>
      <c r="I28" s="21" t="s">
        <v>58</v>
      </c>
      <c r="J28" s="22" t="s">
        <v>59</v>
      </c>
      <c r="K28" s="23">
        <v>280</v>
      </c>
      <c r="L28" s="23">
        <f>K28-77-77-23-100-3</f>
        <v>0</v>
      </c>
      <c r="M28" s="6" t="s">
        <v>60</v>
      </c>
      <c r="N28" s="7">
        <v>40000</v>
      </c>
      <c r="O28" s="8">
        <f t="shared" si="0"/>
        <v>11200000</v>
      </c>
    </row>
    <row r="29" spans="1:16" ht="16.2" thickBot="1" x14ac:dyDescent="0.35">
      <c r="A29" s="4" t="s">
        <v>58</v>
      </c>
      <c r="B29" s="5" t="s">
        <v>59</v>
      </c>
      <c r="C29" s="6">
        <v>70</v>
      </c>
      <c r="D29" s="6">
        <v>40000</v>
      </c>
    </row>
    <row r="30" spans="1:16" ht="16.2" thickBot="1" x14ac:dyDescent="0.35">
      <c r="A30" s="4" t="s">
        <v>20</v>
      </c>
      <c r="B30" s="5" t="s">
        <v>4</v>
      </c>
      <c r="C30" s="6">
        <v>70</v>
      </c>
      <c r="D30" s="6">
        <v>137119</v>
      </c>
    </row>
    <row r="31" spans="1:16" ht="16.2" thickBot="1" x14ac:dyDescent="0.35">
      <c r="A31" s="4" t="s">
        <v>49</v>
      </c>
      <c r="B31" s="5" t="s">
        <v>4</v>
      </c>
      <c r="C31" s="6">
        <v>70</v>
      </c>
      <c r="D31" s="20">
        <v>420000</v>
      </c>
      <c r="O31" s="8">
        <f>SUM(O2:O28)</f>
        <v>637403932</v>
      </c>
      <c r="P31" s="8">
        <f>O31/280</f>
        <v>2276442.6142857145</v>
      </c>
    </row>
    <row r="32" spans="1:16" ht="16.2" thickBot="1" x14ac:dyDescent="0.35">
      <c r="A32" s="4"/>
      <c r="B32" s="5"/>
      <c r="C32" s="6">
        <v>70</v>
      </c>
      <c r="D32" s="20"/>
      <c r="K32" s="12">
        <f>77-23</f>
        <v>54</v>
      </c>
      <c r="O32">
        <v>997920000</v>
      </c>
    </row>
    <row r="33" spans="1:15" ht="16.2" thickBot="1" x14ac:dyDescent="0.35">
      <c r="A33" s="4" t="s">
        <v>39</v>
      </c>
      <c r="B33" s="5" t="s">
        <v>40</v>
      </c>
      <c r="C33" s="6">
        <v>70</v>
      </c>
      <c r="D33" s="20">
        <v>23700</v>
      </c>
    </row>
    <row r="34" spans="1:15" ht="16.2" thickBot="1" x14ac:dyDescent="0.35">
      <c r="A34" s="17" t="s">
        <v>58</v>
      </c>
      <c r="C34" s="6">
        <v>70</v>
      </c>
      <c r="D34" s="20">
        <v>40000</v>
      </c>
      <c r="O34" s="8">
        <f>O32/O31</f>
        <v>1.5656006339163908</v>
      </c>
    </row>
    <row r="35" spans="1:15" ht="16.2" thickBot="1" x14ac:dyDescent="0.35">
      <c r="A35" s="4" t="s">
        <v>24</v>
      </c>
      <c r="C35" s="12">
        <v>70</v>
      </c>
      <c r="D35" s="12">
        <v>40370</v>
      </c>
    </row>
    <row r="36" spans="1:15" ht="15.6" x14ac:dyDescent="0.3">
      <c r="A36" s="32"/>
    </row>
    <row r="37" spans="1:15" ht="15.6" x14ac:dyDescent="0.3">
      <c r="A37" s="32"/>
    </row>
    <row r="39" spans="1:15" ht="16.2" thickBot="1" x14ac:dyDescent="0.35">
      <c r="A39" s="24" t="s">
        <v>42</v>
      </c>
      <c r="B39" s="25"/>
      <c r="C39" s="25">
        <v>13</v>
      </c>
      <c r="E39" s="19">
        <v>42000</v>
      </c>
      <c r="H39">
        <f>SUM(E39:E55)</f>
        <v>2446805</v>
      </c>
    </row>
    <row r="40" spans="1:15" ht="16.2" thickBot="1" x14ac:dyDescent="0.35">
      <c r="A40" s="24" t="s">
        <v>3</v>
      </c>
      <c r="B40" s="25"/>
      <c r="C40" s="25">
        <v>13</v>
      </c>
      <c r="E40" s="19">
        <v>57777</v>
      </c>
    </row>
    <row r="41" spans="1:15" ht="16.2" thickBot="1" x14ac:dyDescent="0.35">
      <c r="A41" s="24" t="s">
        <v>6</v>
      </c>
      <c r="B41" s="25"/>
      <c r="C41" s="25">
        <v>13</v>
      </c>
      <c r="E41" s="19">
        <v>239500</v>
      </c>
    </row>
    <row r="42" spans="1:15" ht="16.2" thickBot="1" x14ac:dyDescent="0.35">
      <c r="A42" s="24" t="s">
        <v>9</v>
      </c>
      <c r="B42" s="25"/>
      <c r="C42" s="25">
        <v>13</v>
      </c>
      <c r="E42" s="19">
        <v>135463</v>
      </c>
    </row>
    <row r="43" spans="1:15" ht="16.2" thickBot="1" x14ac:dyDescent="0.35">
      <c r="A43" s="24" t="s">
        <v>12</v>
      </c>
      <c r="B43" s="25"/>
      <c r="C43" s="25">
        <v>13</v>
      </c>
      <c r="E43" s="19">
        <v>160000</v>
      </c>
    </row>
    <row r="44" spans="1:15" ht="16.2" thickBot="1" x14ac:dyDescent="0.35">
      <c r="A44" s="24" t="s">
        <v>35</v>
      </c>
      <c r="B44" s="25"/>
      <c r="C44" s="25">
        <v>13</v>
      </c>
      <c r="E44" s="19">
        <v>42550</v>
      </c>
    </row>
    <row r="45" spans="1:15" ht="16.2" thickBot="1" x14ac:dyDescent="0.35">
      <c r="A45" s="24" t="s">
        <v>20</v>
      </c>
      <c r="B45" s="25"/>
      <c r="C45" s="25">
        <v>13</v>
      </c>
      <c r="E45" s="19">
        <v>137119</v>
      </c>
    </row>
    <row r="46" spans="1:15" ht="16.2" thickBot="1" x14ac:dyDescent="0.35">
      <c r="A46" s="24" t="s">
        <v>16</v>
      </c>
      <c r="B46" s="25"/>
      <c r="C46" s="25">
        <v>13</v>
      </c>
      <c r="E46" s="19">
        <v>40741</v>
      </c>
    </row>
    <row r="47" spans="1:15" ht="16.2" thickBot="1" x14ac:dyDescent="0.35">
      <c r="A47" s="24" t="s">
        <v>44</v>
      </c>
      <c r="B47" s="25"/>
      <c r="C47" s="25">
        <v>13</v>
      </c>
      <c r="E47" s="19">
        <v>296296</v>
      </c>
    </row>
    <row r="48" spans="1:15" ht="16.2" thickBot="1" x14ac:dyDescent="0.35">
      <c r="A48" s="24" t="s">
        <v>46</v>
      </c>
      <c r="B48" s="25"/>
      <c r="C48" s="25">
        <v>13</v>
      </c>
      <c r="E48" s="19">
        <v>316366</v>
      </c>
    </row>
    <row r="49" spans="1:8" ht="16.2" thickBot="1" x14ac:dyDescent="0.35">
      <c r="A49" s="24" t="s">
        <v>58</v>
      </c>
      <c r="B49" s="25"/>
      <c r="C49" s="25">
        <v>13</v>
      </c>
      <c r="E49" s="19">
        <v>40000</v>
      </c>
    </row>
    <row r="50" spans="1:8" ht="16.2" thickBot="1" x14ac:dyDescent="0.35">
      <c r="A50" s="24" t="s">
        <v>53</v>
      </c>
      <c r="B50" s="25"/>
      <c r="C50" s="25">
        <v>13</v>
      </c>
      <c r="E50" s="19">
        <v>92000</v>
      </c>
    </row>
    <row r="51" spans="1:8" ht="16.2" thickBot="1" x14ac:dyDescent="0.35">
      <c r="A51" s="24" t="s">
        <v>49</v>
      </c>
      <c r="B51" s="25"/>
      <c r="C51" s="25">
        <v>13</v>
      </c>
      <c r="E51" s="19">
        <v>420000</v>
      </c>
    </row>
    <row r="52" spans="1:8" ht="16.2" thickBot="1" x14ac:dyDescent="0.35">
      <c r="A52" s="24" t="s">
        <v>56</v>
      </c>
      <c r="B52" s="25"/>
      <c r="C52" s="25">
        <v>13</v>
      </c>
      <c r="E52" s="19">
        <v>173443</v>
      </c>
    </row>
    <row r="53" spans="1:8" ht="16.2" thickBot="1" x14ac:dyDescent="0.35">
      <c r="A53" s="17" t="s">
        <v>53</v>
      </c>
      <c r="B53" s="25"/>
      <c r="C53" s="25">
        <v>13</v>
      </c>
      <c r="E53" s="19">
        <v>92000</v>
      </c>
    </row>
    <row r="54" spans="1:8" ht="16.2" thickBot="1" x14ac:dyDescent="0.35">
      <c r="A54" s="4" t="s">
        <v>29</v>
      </c>
      <c r="B54" s="25"/>
      <c r="C54" s="25">
        <v>13</v>
      </c>
      <c r="E54" s="7">
        <v>68000</v>
      </c>
    </row>
    <row r="55" spans="1:8" ht="16.2" thickBot="1" x14ac:dyDescent="0.35">
      <c r="A55" s="4" t="s">
        <v>32</v>
      </c>
      <c r="C55" s="25">
        <v>13</v>
      </c>
      <c r="E55" s="7">
        <v>93550</v>
      </c>
    </row>
    <row r="56" spans="1:8" ht="16.2" thickBot="1" x14ac:dyDescent="0.35">
      <c r="A56" s="4"/>
    </row>
    <row r="57" spans="1:8" ht="16.2" thickBot="1" x14ac:dyDescent="0.35">
      <c r="A57" s="4"/>
    </row>
    <row r="58" spans="1:8" ht="16.2" thickBot="1" x14ac:dyDescent="0.35">
      <c r="A58" s="4"/>
    </row>
    <row r="59" spans="1:8" ht="16.2" thickBot="1" x14ac:dyDescent="0.35">
      <c r="A59" s="17" t="s">
        <v>35</v>
      </c>
      <c r="C59" s="12">
        <v>2</v>
      </c>
      <c r="E59" s="19">
        <v>42550</v>
      </c>
      <c r="H59" s="8">
        <f>SUM(E59:E77)</f>
        <v>2799562</v>
      </c>
    </row>
    <row r="60" spans="1:8" ht="16.2" thickBot="1" x14ac:dyDescent="0.35">
      <c r="A60" s="4" t="s">
        <v>51</v>
      </c>
      <c r="C60" s="12">
        <v>2</v>
      </c>
      <c r="E60" s="19">
        <v>30000</v>
      </c>
    </row>
    <row r="61" spans="1:8" ht="16.2" thickBot="1" x14ac:dyDescent="0.35">
      <c r="A61" s="17" t="s">
        <v>12</v>
      </c>
      <c r="C61" s="12">
        <v>2</v>
      </c>
      <c r="E61" s="19">
        <v>160000</v>
      </c>
    </row>
    <row r="62" spans="1:8" ht="16.2" thickBot="1" x14ac:dyDescent="0.35">
      <c r="A62" s="17" t="s">
        <v>3</v>
      </c>
      <c r="C62" s="12">
        <v>2</v>
      </c>
      <c r="E62" s="19">
        <v>57777</v>
      </c>
    </row>
    <row r="63" spans="1:8" ht="16.2" thickBot="1" x14ac:dyDescent="0.35">
      <c r="A63" s="17" t="s">
        <v>6</v>
      </c>
      <c r="C63" s="12">
        <v>2</v>
      </c>
      <c r="E63" s="19">
        <v>239500</v>
      </c>
    </row>
    <row r="64" spans="1:8" ht="16.2" thickBot="1" x14ac:dyDescent="0.35">
      <c r="A64" s="17" t="s">
        <v>9</v>
      </c>
      <c r="C64" s="12">
        <v>2</v>
      </c>
      <c r="E64" s="19">
        <v>135463</v>
      </c>
    </row>
    <row r="65" spans="1:9" ht="16.2" thickBot="1" x14ac:dyDescent="0.35">
      <c r="A65" s="4" t="s">
        <v>22</v>
      </c>
      <c r="C65" s="12">
        <v>2</v>
      </c>
      <c r="E65" s="19">
        <v>158333</v>
      </c>
    </row>
    <row r="66" spans="1:9" ht="16.2" thickBot="1" x14ac:dyDescent="0.35">
      <c r="A66" s="17" t="s">
        <v>0</v>
      </c>
      <c r="C66" s="12">
        <v>2</v>
      </c>
      <c r="E66" s="19">
        <v>50927</v>
      </c>
    </row>
    <row r="67" spans="1:9" ht="16.2" thickBot="1" x14ac:dyDescent="0.35">
      <c r="A67" s="4" t="s">
        <v>24</v>
      </c>
      <c r="C67" s="12">
        <v>2</v>
      </c>
      <c r="E67" s="19">
        <v>40370</v>
      </c>
    </row>
    <row r="68" spans="1:9" ht="16.2" thickBot="1" x14ac:dyDescent="0.35">
      <c r="A68" s="4" t="s">
        <v>26</v>
      </c>
      <c r="C68" s="12">
        <v>2</v>
      </c>
      <c r="E68" s="19">
        <v>82000</v>
      </c>
    </row>
    <row r="69" spans="1:9" ht="16.2" thickBot="1" x14ac:dyDescent="0.35">
      <c r="A69" s="4" t="s">
        <v>29</v>
      </c>
      <c r="C69" s="12">
        <v>2</v>
      </c>
      <c r="E69" s="19">
        <v>68000</v>
      </c>
      <c r="I69" s="17"/>
    </row>
    <row r="70" spans="1:9" ht="16.2" thickBot="1" x14ac:dyDescent="0.35">
      <c r="A70" s="4" t="s">
        <v>32</v>
      </c>
      <c r="C70" s="12">
        <v>2</v>
      </c>
      <c r="E70" s="19">
        <v>93550</v>
      </c>
    </row>
    <row r="71" spans="1:9" ht="16.2" thickBot="1" x14ac:dyDescent="0.35">
      <c r="A71" s="17" t="s">
        <v>44</v>
      </c>
      <c r="C71" s="12">
        <v>2</v>
      </c>
      <c r="E71" s="19">
        <v>296296</v>
      </c>
    </row>
    <row r="72" spans="1:9" ht="16.2" thickBot="1" x14ac:dyDescent="0.35">
      <c r="A72" s="17" t="s">
        <v>46</v>
      </c>
      <c r="C72" s="12">
        <v>2</v>
      </c>
      <c r="E72" s="19">
        <v>316366</v>
      </c>
    </row>
    <row r="73" spans="1:9" ht="16.2" thickBot="1" x14ac:dyDescent="0.35">
      <c r="A73" s="4" t="s">
        <v>47</v>
      </c>
      <c r="C73" s="12">
        <v>2</v>
      </c>
      <c r="E73" s="19">
        <v>355000</v>
      </c>
    </row>
    <row r="74" spans="1:9" ht="16.2" thickBot="1" x14ac:dyDescent="0.35">
      <c r="A74" s="17" t="s">
        <v>54</v>
      </c>
      <c r="C74" s="12">
        <v>2</v>
      </c>
      <c r="E74" s="7">
        <v>173430</v>
      </c>
    </row>
    <row r="75" spans="1:9" ht="16.2" thickBot="1" x14ac:dyDescent="0.35">
      <c r="A75" s="17" t="s">
        <v>56</v>
      </c>
      <c r="C75" s="12">
        <v>2</v>
      </c>
      <c r="E75" s="7">
        <v>40000</v>
      </c>
    </row>
    <row r="76" spans="1:9" ht="16.2" thickBot="1" x14ac:dyDescent="0.35">
      <c r="A76" s="21" t="s">
        <v>58</v>
      </c>
      <c r="C76" s="12">
        <v>2</v>
      </c>
      <c r="E76" s="19">
        <v>40000</v>
      </c>
    </row>
    <row r="77" spans="1:9" ht="16.2" thickBot="1" x14ac:dyDescent="0.35">
      <c r="A77" s="17" t="s">
        <v>49</v>
      </c>
      <c r="C77" s="12">
        <v>2</v>
      </c>
      <c r="E77" s="19">
        <v>420000</v>
      </c>
    </row>
    <row r="78" spans="1:9" ht="15.6" x14ac:dyDescent="0.3">
      <c r="A78" s="33"/>
    </row>
    <row r="79" spans="1:9" ht="15.6" x14ac:dyDescent="0.3">
      <c r="A79" s="33"/>
    </row>
    <row r="81" spans="1:8" ht="16.2" thickBot="1" x14ac:dyDescent="0.35">
      <c r="A81" s="17" t="s">
        <v>3</v>
      </c>
      <c r="C81" s="12">
        <v>35</v>
      </c>
      <c r="E81" s="19">
        <v>57777</v>
      </c>
      <c r="H81" s="8">
        <f>SUM(E81:E96)</f>
        <v>2137543</v>
      </c>
    </row>
    <row r="82" spans="1:8" ht="16.2" thickBot="1" x14ac:dyDescent="0.35">
      <c r="A82" s="17" t="s">
        <v>6</v>
      </c>
      <c r="C82" s="12">
        <v>35</v>
      </c>
      <c r="E82" s="19">
        <v>239500</v>
      </c>
    </row>
    <row r="83" spans="1:8" ht="16.2" thickBot="1" x14ac:dyDescent="0.35">
      <c r="A83" s="17" t="s">
        <v>9</v>
      </c>
      <c r="C83" s="12">
        <v>35</v>
      </c>
      <c r="E83" s="19">
        <v>135463</v>
      </c>
    </row>
    <row r="84" spans="1:8" ht="16.2" thickBot="1" x14ac:dyDescent="0.35">
      <c r="A84" s="17" t="s">
        <v>12</v>
      </c>
      <c r="C84" s="12">
        <v>35</v>
      </c>
      <c r="E84" s="19">
        <v>160000</v>
      </c>
    </row>
    <row r="85" spans="1:8" ht="16.2" thickBot="1" x14ac:dyDescent="0.35">
      <c r="A85" s="17" t="s">
        <v>44</v>
      </c>
      <c r="C85" s="12">
        <v>35</v>
      </c>
      <c r="E85" s="19">
        <v>296296</v>
      </c>
    </row>
    <row r="86" spans="1:8" ht="16.2" thickBot="1" x14ac:dyDescent="0.35">
      <c r="A86" s="17" t="s">
        <v>46</v>
      </c>
      <c r="C86" s="12">
        <v>35</v>
      </c>
      <c r="E86" s="19">
        <v>316366</v>
      </c>
    </row>
    <row r="87" spans="1:8" ht="16.2" thickBot="1" x14ac:dyDescent="0.35">
      <c r="A87" s="17" t="s">
        <v>54</v>
      </c>
      <c r="C87" s="12">
        <v>35</v>
      </c>
      <c r="E87" s="19">
        <v>65932</v>
      </c>
    </row>
    <row r="88" spans="1:8" ht="16.2" thickBot="1" x14ac:dyDescent="0.35">
      <c r="A88" s="17" t="s">
        <v>56</v>
      </c>
      <c r="C88" s="12">
        <v>35</v>
      </c>
      <c r="E88" s="19">
        <v>173430</v>
      </c>
    </row>
    <row r="89" spans="1:8" ht="16.2" thickBot="1" x14ac:dyDescent="0.35">
      <c r="A89" s="17" t="s">
        <v>58</v>
      </c>
      <c r="C89" s="12">
        <v>35</v>
      </c>
      <c r="E89" s="19">
        <v>40000</v>
      </c>
    </row>
    <row r="90" spans="1:8" ht="16.2" thickBot="1" x14ac:dyDescent="0.35">
      <c r="A90" s="17" t="s">
        <v>49</v>
      </c>
      <c r="C90" s="12">
        <v>35</v>
      </c>
      <c r="E90" s="19">
        <v>420000</v>
      </c>
    </row>
    <row r="91" spans="1:8" ht="16.2" thickBot="1" x14ac:dyDescent="0.35">
      <c r="A91" s="4" t="s">
        <v>51</v>
      </c>
      <c r="C91" s="12">
        <v>35</v>
      </c>
      <c r="E91" s="19">
        <v>30000</v>
      </c>
    </row>
    <row r="92" spans="1:8" ht="16.2" thickBot="1" x14ac:dyDescent="0.35">
      <c r="A92" s="17" t="s">
        <v>0</v>
      </c>
      <c r="C92" s="12">
        <v>35</v>
      </c>
      <c r="E92" s="19">
        <v>50927</v>
      </c>
    </row>
    <row r="93" spans="1:8" ht="16.2" thickBot="1" x14ac:dyDescent="0.35">
      <c r="A93" s="4" t="s">
        <v>24</v>
      </c>
      <c r="C93" s="12">
        <v>35</v>
      </c>
      <c r="E93" s="19">
        <v>40370</v>
      </c>
    </row>
    <row r="94" spans="1:8" ht="16.2" thickBot="1" x14ac:dyDescent="0.35">
      <c r="A94" s="9" t="s">
        <v>14</v>
      </c>
      <c r="C94" s="12">
        <v>35</v>
      </c>
      <c r="E94" s="19">
        <v>40741</v>
      </c>
    </row>
    <row r="95" spans="1:8" ht="16.2" thickBot="1" x14ac:dyDescent="0.35">
      <c r="A95" s="4" t="s">
        <v>51</v>
      </c>
      <c r="C95" s="12">
        <v>35</v>
      </c>
      <c r="E95" s="19">
        <v>30000</v>
      </c>
    </row>
    <row r="96" spans="1:8" ht="16.2" thickBot="1" x14ac:dyDescent="0.35">
      <c r="A96" s="9" t="s">
        <v>14</v>
      </c>
      <c r="C96" s="12">
        <v>35</v>
      </c>
      <c r="E96" s="19">
        <v>40741</v>
      </c>
    </row>
    <row r="97" spans="1:6" ht="16.2" thickBot="1" x14ac:dyDescent="0.35">
      <c r="A97" s="4" t="s">
        <v>22</v>
      </c>
      <c r="C97" s="12">
        <v>35</v>
      </c>
      <c r="E97" s="19">
        <v>158333</v>
      </c>
    </row>
    <row r="98" spans="1:6" ht="15" thickBot="1" x14ac:dyDescent="0.35"/>
    <row r="99" spans="1:6" ht="16.2" thickBot="1" x14ac:dyDescent="0.35">
      <c r="A99" s="27"/>
      <c r="B99" s="28" t="s">
        <v>61</v>
      </c>
      <c r="C99" s="29"/>
      <c r="D99" s="29"/>
    </row>
    <row r="100" spans="1:6" ht="16.2" thickBot="1" x14ac:dyDescent="0.35">
      <c r="A100" s="1" t="s">
        <v>0</v>
      </c>
      <c r="B100" s="2" t="s">
        <v>1</v>
      </c>
      <c r="C100" s="3">
        <v>23</v>
      </c>
      <c r="D100" s="30">
        <v>50927</v>
      </c>
    </row>
    <row r="101" spans="1:6" ht="16.2" thickBot="1" x14ac:dyDescent="0.35">
      <c r="A101" s="1" t="s">
        <v>3</v>
      </c>
      <c r="B101" s="2" t="s">
        <v>4</v>
      </c>
      <c r="C101" s="3">
        <v>23</v>
      </c>
      <c r="D101" s="30">
        <v>57777</v>
      </c>
    </row>
    <row r="102" spans="1:6" ht="16.2" thickBot="1" x14ac:dyDescent="0.35">
      <c r="A102" s="1" t="s">
        <v>6</v>
      </c>
      <c r="B102" s="2" t="s">
        <v>7</v>
      </c>
      <c r="C102" s="3">
        <v>23</v>
      </c>
      <c r="D102" s="30">
        <v>239500</v>
      </c>
    </row>
    <row r="103" spans="1:6" ht="16.2" thickBot="1" x14ac:dyDescent="0.35">
      <c r="A103" s="1" t="s">
        <v>9</v>
      </c>
      <c r="B103" s="2" t="s">
        <v>10</v>
      </c>
      <c r="C103" s="3">
        <v>23</v>
      </c>
      <c r="D103" s="30">
        <v>135463</v>
      </c>
    </row>
    <row r="104" spans="1:6" ht="16.2" thickBot="1" x14ac:dyDescent="0.35">
      <c r="A104" s="1" t="s">
        <v>12</v>
      </c>
      <c r="B104" s="2" t="s">
        <v>13</v>
      </c>
      <c r="C104" s="3">
        <v>23</v>
      </c>
      <c r="D104" s="30">
        <v>160000</v>
      </c>
      <c r="F104" s="26">
        <f>SUM(D100:D120)</f>
        <v>2931539</v>
      </c>
    </row>
    <row r="105" spans="1:6" ht="16.2" thickBot="1" x14ac:dyDescent="0.35">
      <c r="A105" s="1" t="s">
        <v>44</v>
      </c>
      <c r="B105" s="2" t="s">
        <v>4</v>
      </c>
      <c r="C105" s="3">
        <v>23</v>
      </c>
      <c r="D105" s="30">
        <v>296296</v>
      </c>
    </row>
    <row r="106" spans="1:6" ht="16.2" thickBot="1" x14ac:dyDescent="0.35">
      <c r="A106" s="1" t="s">
        <v>46</v>
      </c>
      <c r="B106" s="2" t="s">
        <v>4</v>
      </c>
      <c r="C106" s="3">
        <v>23</v>
      </c>
      <c r="D106" s="30">
        <v>316366</v>
      </c>
    </row>
    <row r="107" spans="1:6" ht="16.2" thickBot="1" x14ac:dyDescent="0.35">
      <c r="A107" s="1" t="s">
        <v>54</v>
      </c>
      <c r="B107" s="2" t="s">
        <v>4</v>
      </c>
      <c r="C107" s="3">
        <v>23</v>
      </c>
      <c r="D107" s="3">
        <v>355000</v>
      </c>
    </row>
    <row r="108" spans="1:6" ht="16.2" thickBot="1" x14ac:dyDescent="0.35">
      <c r="A108" s="1" t="s">
        <v>56</v>
      </c>
      <c r="B108" s="2" t="s">
        <v>4</v>
      </c>
      <c r="C108" s="3">
        <v>23</v>
      </c>
      <c r="D108" s="30">
        <v>65932</v>
      </c>
    </row>
    <row r="109" spans="1:6" ht="16.2" thickBot="1" x14ac:dyDescent="0.35">
      <c r="A109" s="1" t="s">
        <v>58</v>
      </c>
      <c r="B109" s="2" t="s">
        <v>59</v>
      </c>
      <c r="C109" s="3">
        <v>23</v>
      </c>
      <c r="D109" s="3">
        <v>40000</v>
      </c>
    </row>
    <row r="110" spans="1:6" ht="16.2" thickBot="1" x14ac:dyDescent="0.35">
      <c r="A110" s="1" t="s">
        <v>20</v>
      </c>
      <c r="B110" s="2" t="s">
        <v>4</v>
      </c>
      <c r="C110" s="3">
        <v>23</v>
      </c>
      <c r="D110" s="3">
        <v>137119</v>
      </c>
    </row>
    <row r="111" spans="1:6" ht="16.2" thickBot="1" x14ac:dyDescent="0.35">
      <c r="A111" s="1" t="s">
        <v>49</v>
      </c>
      <c r="B111" s="2" t="s">
        <v>4</v>
      </c>
      <c r="C111" s="3">
        <v>23</v>
      </c>
      <c r="D111" s="13">
        <v>420000</v>
      </c>
    </row>
    <row r="112" spans="1:6" ht="16.2" thickBot="1" x14ac:dyDescent="0.35">
      <c r="A112" s="1" t="s">
        <v>35</v>
      </c>
      <c r="B112" s="2" t="s">
        <v>4</v>
      </c>
      <c r="C112" s="3">
        <v>23</v>
      </c>
      <c r="D112" s="13">
        <v>42550</v>
      </c>
    </row>
    <row r="113" spans="1:6" ht="16.2" thickBot="1" x14ac:dyDescent="0.35">
      <c r="A113" s="1" t="s">
        <v>37</v>
      </c>
      <c r="B113" s="2" t="s">
        <v>30</v>
      </c>
      <c r="C113" s="3">
        <v>23</v>
      </c>
      <c r="D113" s="13">
        <v>47750</v>
      </c>
    </row>
    <row r="114" spans="1:6" ht="16.2" thickBot="1" x14ac:dyDescent="0.35">
      <c r="A114" s="4" t="s">
        <v>51</v>
      </c>
      <c r="C114" s="12">
        <v>23</v>
      </c>
      <c r="D114" s="12">
        <v>30000</v>
      </c>
    </row>
    <row r="115" spans="1:6" ht="16.2" thickBot="1" x14ac:dyDescent="0.35">
      <c r="A115" s="17" t="s">
        <v>0</v>
      </c>
      <c r="C115" s="12">
        <v>23</v>
      </c>
      <c r="D115" s="12">
        <v>50927</v>
      </c>
    </row>
    <row r="116" spans="1:6" ht="16.2" thickBot="1" x14ac:dyDescent="0.35">
      <c r="A116" s="17" t="s">
        <v>49</v>
      </c>
      <c r="C116" s="12">
        <v>23</v>
      </c>
      <c r="D116" s="12">
        <v>420000</v>
      </c>
    </row>
    <row r="117" spans="1:6" ht="16.2" thickBot="1" x14ac:dyDescent="0.35">
      <c r="A117" s="17" t="s">
        <v>54</v>
      </c>
      <c r="C117" s="12">
        <v>23</v>
      </c>
      <c r="D117" s="12">
        <v>65932</v>
      </c>
    </row>
    <row r="121" spans="1:6" ht="16.2" thickBot="1" x14ac:dyDescent="0.35">
      <c r="A121" s="1" t="s">
        <v>0</v>
      </c>
      <c r="B121" s="2" t="s">
        <v>1</v>
      </c>
      <c r="C121" s="12">
        <v>54</v>
      </c>
      <c r="D121" s="30">
        <v>50927</v>
      </c>
    </row>
    <row r="122" spans="1:6" ht="16.2" thickBot="1" x14ac:dyDescent="0.35">
      <c r="A122" s="1" t="s">
        <v>3</v>
      </c>
      <c r="B122" s="2" t="s">
        <v>4</v>
      </c>
      <c r="C122" s="12">
        <v>54</v>
      </c>
      <c r="D122" s="30">
        <v>57777</v>
      </c>
    </row>
    <row r="123" spans="1:6" ht="16.2" thickBot="1" x14ac:dyDescent="0.35">
      <c r="A123" s="1" t="s">
        <v>6</v>
      </c>
      <c r="B123" s="2" t="s">
        <v>7</v>
      </c>
      <c r="C123" s="12">
        <v>54</v>
      </c>
      <c r="D123" s="30">
        <v>239500</v>
      </c>
      <c r="F123" s="26"/>
    </row>
    <row r="124" spans="1:6" ht="16.2" thickBot="1" x14ac:dyDescent="0.35">
      <c r="A124" s="1" t="s">
        <v>9</v>
      </c>
      <c r="B124" s="2" t="s">
        <v>10</v>
      </c>
      <c r="C124" s="12">
        <v>54</v>
      </c>
      <c r="D124" s="30">
        <v>135463</v>
      </c>
    </row>
    <row r="125" spans="1:6" ht="16.2" thickBot="1" x14ac:dyDescent="0.35">
      <c r="A125" s="1" t="s">
        <v>12</v>
      </c>
      <c r="B125" s="2" t="s">
        <v>13</v>
      </c>
      <c r="C125" s="12">
        <v>54</v>
      </c>
      <c r="D125" s="30">
        <v>160000</v>
      </c>
      <c r="F125" s="26">
        <f>SUM(D121:D135)</f>
        <v>2501799</v>
      </c>
    </row>
    <row r="126" spans="1:6" ht="16.2" thickBot="1" x14ac:dyDescent="0.35">
      <c r="A126" s="1" t="s">
        <v>44</v>
      </c>
      <c r="B126" s="2" t="s">
        <v>4</v>
      </c>
      <c r="C126" s="12">
        <v>54</v>
      </c>
      <c r="D126" s="30">
        <v>296296</v>
      </c>
    </row>
    <row r="127" spans="1:6" ht="16.2" thickBot="1" x14ac:dyDescent="0.35">
      <c r="A127" s="1" t="s">
        <v>46</v>
      </c>
      <c r="B127" s="2" t="s">
        <v>4</v>
      </c>
      <c r="C127" s="12">
        <v>54</v>
      </c>
      <c r="D127" s="30">
        <v>316366</v>
      </c>
    </row>
    <row r="128" spans="1:6" ht="16.2" thickBot="1" x14ac:dyDescent="0.35">
      <c r="A128" s="1" t="s">
        <v>54</v>
      </c>
      <c r="B128" s="2" t="s">
        <v>4</v>
      </c>
      <c r="C128" s="12">
        <v>54</v>
      </c>
      <c r="D128" s="3">
        <v>355000</v>
      </c>
    </row>
    <row r="129" spans="1:4" ht="16.2" thickBot="1" x14ac:dyDescent="0.35">
      <c r="A129" s="1" t="s">
        <v>56</v>
      </c>
      <c r="B129" s="2" t="s">
        <v>4</v>
      </c>
      <c r="C129" s="12">
        <v>54</v>
      </c>
      <c r="D129" s="30">
        <v>65932</v>
      </c>
    </row>
    <row r="130" spans="1:4" ht="16.2" thickBot="1" x14ac:dyDescent="0.35">
      <c r="A130" s="1" t="s">
        <v>58</v>
      </c>
      <c r="B130" s="2" t="s">
        <v>59</v>
      </c>
      <c r="C130" s="12">
        <v>54</v>
      </c>
      <c r="D130" s="3">
        <v>40000</v>
      </c>
    </row>
    <row r="131" spans="1:4" ht="16.2" thickBot="1" x14ac:dyDescent="0.35">
      <c r="A131" s="1" t="s">
        <v>20</v>
      </c>
      <c r="B131" s="2" t="s">
        <v>4</v>
      </c>
      <c r="C131" s="12">
        <v>54</v>
      </c>
      <c r="D131" s="3">
        <v>137119</v>
      </c>
    </row>
    <row r="132" spans="1:4" ht="16.2" thickBot="1" x14ac:dyDescent="0.35">
      <c r="A132" s="1" t="s">
        <v>49</v>
      </c>
      <c r="B132" s="2" t="s">
        <v>4</v>
      </c>
      <c r="C132" s="12">
        <v>54</v>
      </c>
      <c r="D132" s="13">
        <v>420000</v>
      </c>
    </row>
    <row r="133" spans="1:4" ht="16.2" thickBot="1" x14ac:dyDescent="0.35">
      <c r="A133" s="1" t="s">
        <v>35</v>
      </c>
      <c r="B133" s="2" t="s">
        <v>4</v>
      </c>
      <c r="C133" s="12">
        <v>54</v>
      </c>
      <c r="D133" s="13">
        <v>42550</v>
      </c>
    </row>
    <row r="134" spans="1:4" ht="16.2" thickBot="1" x14ac:dyDescent="0.35">
      <c r="A134" s="1" t="s">
        <v>37</v>
      </c>
      <c r="B134" s="2" t="s">
        <v>30</v>
      </c>
      <c r="C134" s="12">
        <v>54</v>
      </c>
      <c r="D134" s="13">
        <v>47750</v>
      </c>
    </row>
    <row r="135" spans="1:4" ht="16.2" thickBot="1" x14ac:dyDescent="0.35">
      <c r="A135" s="17" t="s">
        <v>20</v>
      </c>
      <c r="C135" s="12">
        <v>54</v>
      </c>
      <c r="D135" s="12">
        <v>137119</v>
      </c>
    </row>
    <row r="136" spans="1:4" ht="16.2" thickBot="1" x14ac:dyDescent="0.35">
      <c r="A136" s="4" t="s">
        <v>29</v>
      </c>
      <c r="C136" s="12">
        <v>54</v>
      </c>
      <c r="D136" s="7">
        <v>68000</v>
      </c>
    </row>
    <row r="137" spans="1:4" ht="16.2" thickBot="1" x14ac:dyDescent="0.35">
      <c r="A137" s="4" t="s">
        <v>32</v>
      </c>
      <c r="C137" s="12">
        <v>54</v>
      </c>
      <c r="D137" s="7">
        <v>93550</v>
      </c>
    </row>
    <row r="143" spans="1:4" ht="16.2" thickBot="1" x14ac:dyDescent="0.35">
      <c r="A143" s="4" t="s">
        <v>0</v>
      </c>
      <c r="B143" s="5" t="s">
        <v>1</v>
      </c>
      <c r="C143" s="6">
        <v>7</v>
      </c>
      <c r="D143" s="19">
        <v>50927</v>
      </c>
    </row>
    <row r="144" spans="1:4" ht="16.2" thickBot="1" x14ac:dyDescent="0.35">
      <c r="A144" s="4" t="s">
        <v>3</v>
      </c>
      <c r="B144" s="5" t="s">
        <v>4</v>
      </c>
      <c r="C144" s="6">
        <v>7</v>
      </c>
      <c r="D144" s="19">
        <v>57777</v>
      </c>
    </row>
    <row r="145" spans="1:7" ht="16.2" thickBot="1" x14ac:dyDescent="0.35">
      <c r="A145" s="4" t="s">
        <v>6</v>
      </c>
      <c r="B145" s="5" t="s">
        <v>7</v>
      </c>
      <c r="C145" s="6">
        <v>7</v>
      </c>
      <c r="D145" s="19">
        <v>239500</v>
      </c>
    </row>
    <row r="146" spans="1:7" ht="16.2" thickBot="1" x14ac:dyDescent="0.35">
      <c r="A146" s="4" t="s">
        <v>9</v>
      </c>
      <c r="B146" s="5" t="s">
        <v>10</v>
      </c>
      <c r="C146" s="6">
        <v>7</v>
      </c>
      <c r="D146" s="19">
        <v>135463</v>
      </c>
      <c r="G146" s="26">
        <f>SUM(D143:D159)</f>
        <v>2456080</v>
      </c>
    </row>
    <row r="147" spans="1:7" ht="16.2" thickBot="1" x14ac:dyDescent="0.35">
      <c r="A147" s="4" t="s">
        <v>12</v>
      </c>
      <c r="B147" s="5" t="s">
        <v>13</v>
      </c>
      <c r="C147" s="6">
        <v>7</v>
      </c>
      <c r="D147" s="19">
        <v>160000</v>
      </c>
    </row>
    <row r="148" spans="1:7" ht="16.2" thickBot="1" x14ac:dyDescent="0.35">
      <c r="A148" s="4" t="s">
        <v>44</v>
      </c>
      <c r="B148" s="5" t="s">
        <v>4</v>
      </c>
      <c r="C148" s="6">
        <v>7</v>
      </c>
      <c r="D148" s="19">
        <v>296296</v>
      </c>
    </row>
    <row r="149" spans="1:7" ht="16.2" thickBot="1" x14ac:dyDescent="0.35">
      <c r="A149" s="4" t="s">
        <v>46</v>
      </c>
      <c r="B149" s="5" t="s">
        <v>4</v>
      </c>
      <c r="C149" s="6">
        <v>7</v>
      </c>
      <c r="D149" s="19">
        <v>316366</v>
      </c>
    </row>
    <row r="150" spans="1:7" ht="16.2" thickBot="1" x14ac:dyDescent="0.35">
      <c r="A150" s="4" t="s">
        <v>54</v>
      </c>
      <c r="B150" s="5" t="s">
        <v>4</v>
      </c>
      <c r="C150" s="6">
        <v>7</v>
      </c>
      <c r="D150" s="6">
        <v>355000</v>
      </c>
    </row>
    <row r="151" spans="1:7" ht="16.2" thickBot="1" x14ac:dyDescent="0.35">
      <c r="A151" s="4" t="s">
        <v>56</v>
      </c>
      <c r="B151" s="5" t="s">
        <v>4</v>
      </c>
      <c r="C151" s="6">
        <v>7</v>
      </c>
      <c r="D151" s="19">
        <v>65932</v>
      </c>
    </row>
    <row r="152" spans="1:7" ht="16.2" thickBot="1" x14ac:dyDescent="0.35">
      <c r="A152" s="4" t="s">
        <v>58</v>
      </c>
      <c r="B152" s="5" t="s">
        <v>59</v>
      </c>
      <c r="C152" s="6">
        <v>7</v>
      </c>
      <c r="D152" s="6">
        <v>40000</v>
      </c>
    </row>
    <row r="153" spans="1:7" ht="16.2" thickBot="1" x14ac:dyDescent="0.35">
      <c r="A153" s="4" t="s">
        <v>20</v>
      </c>
      <c r="B153" s="5" t="s">
        <v>4</v>
      </c>
      <c r="C153" s="6">
        <v>7</v>
      </c>
      <c r="D153" s="6">
        <v>137119</v>
      </c>
    </row>
    <row r="154" spans="1:7" ht="16.2" thickBot="1" x14ac:dyDescent="0.35">
      <c r="A154" s="4" t="s">
        <v>49</v>
      </c>
      <c r="B154" s="5" t="s">
        <v>4</v>
      </c>
      <c r="C154" s="6">
        <v>7</v>
      </c>
      <c r="D154" s="20">
        <v>420000</v>
      </c>
    </row>
    <row r="155" spans="1:7" ht="16.2" thickBot="1" x14ac:dyDescent="0.35">
      <c r="A155" s="4"/>
      <c r="B155" s="5"/>
      <c r="C155" s="6">
        <v>7</v>
      </c>
      <c r="D155" s="20"/>
    </row>
    <row r="156" spans="1:7" ht="16.2" thickBot="1" x14ac:dyDescent="0.35">
      <c r="A156" s="4" t="s">
        <v>39</v>
      </c>
      <c r="B156" s="5" t="s">
        <v>40</v>
      </c>
      <c r="C156" s="6">
        <v>7</v>
      </c>
      <c r="D156" s="20">
        <v>23700</v>
      </c>
    </row>
    <row r="157" spans="1:7" ht="16.2" thickBot="1" x14ac:dyDescent="0.35">
      <c r="A157" s="17" t="s">
        <v>58</v>
      </c>
      <c r="C157" s="6">
        <v>7</v>
      </c>
      <c r="D157" s="20">
        <v>40000</v>
      </c>
    </row>
    <row r="158" spans="1:7" ht="16.2" thickBot="1" x14ac:dyDescent="0.35">
      <c r="A158" s="4" t="s">
        <v>26</v>
      </c>
      <c r="C158" s="12">
        <v>7</v>
      </c>
      <c r="D158" s="7">
        <v>82000</v>
      </c>
    </row>
    <row r="159" spans="1:7" ht="16.2" thickBot="1" x14ac:dyDescent="0.35">
      <c r="A159" s="4" t="s">
        <v>18</v>
      </c>
      <c r="C159" s="12">
        <v>7</v>
      </c>
      <c r="D159" s="12">
        <v>36000</v>
      </c>
    </row>
    <row r="163" spans="1:8" ht="16.2" thickBot="1" x14ac:dyDescent="0.35">
      <c r="A163" s="24" t="s">
        <v>42</v>
      </c>
      <c r="B163" s="25"/>
      <c r="C163" s="25">
        <v>8</v>
      </c>
      <c r="E163" s="19">
        <v>42000</v>
      </c>
    </row>
    <row r="164" spans="1:8" ht="16.2" thickBot="1" x14ac:dyDescent="0.35">
      <c r="A164" s="24" t="s">
        <v>3</v>
      </c>
      <c r="B164" s="25"/>
      <c r="C164" s="25">
        <v>8</v>
      </c>
      <c r="E164" s="19">
        <v>57777</v>
      </c>
    </row>
    <row r="165" spans="1:8" ht="16.2" thickBot="1" x14ac:dyDescent="0.35">
      <c r="A165" s="24" t="s">
        <v>6</v>
      </c>
      <c r="B165" s="25"/>
      <c r="C165" s="25">
        <v>8</v>
      </c>
      <c r="E165" s="19">
        <v>239500</v>
      </c>
    </row>
    <row r="166" spans="1:8" ht="16.2" thickBot="1" x14ac:dyDescent="0.35">
      <c r="A166" s="24" t="s">
        <v>9</v>
      </c>
      <c r="B166" s="25"/>
      <c r="C166" s="25">
        <v>8</v>
      </c>
      <c r="E166" s="19">
        <v>135463</v>
      </c>
    </row>
    <row r="167" spans="1:8" ht="16.2" thickBot="1" x14ac:dyDescent="0.35">
      <c r="A167" s="24" t="s">
        <v>12</v>
      </c>
      <c r="B167" s="25"/>
      <c r="C167" s="25">
        <v>8</v>
      </c>
      <c r="E167" s="19">
        <v>160000</v>
      </c>
    </row>
    <row r="168" spans="1:8" ht="16.2" thickBot="1" x14ac:dyDescent="0.35">
      <c r="A168" s="24" t="s">
        <v>35</v>
      </c>
      <c r="B168" s="25"/>
      <c r="C168" s="25">
        <v>8</v>
      </c>
      <c r="E168" s="19">
        <v>42550</v>
      </c>
    </row>
    <row r="169" spans="1:8" ht="16.2" thickBot="1" x14ac:dyDescent="0.35">
      <c r="A169" s="24" t="s">
        <v>20</v>
      </c>
      <c r="B169" s="25"/>
      <c r="C169" s="25">
        <v>8</v>
      </c>
      <c r="E169" s="19">
        <v>137119</v>
      </c>
    </row>
    <row r="170" spans="1:8" ht="16.2" thickBot="1" x14ac:dyDescent="0.35">
      <c r="A170" s="24" t="s">
        <v>16</v>
      </c>
      <c r="B170" s="25"/>
      <c r="C170" s="25">
        <v>8</v>
      </c>
      <c r="E170" s="19">
        <v>40741</v>
      </c>
      <c r="H170" s="8">
        <f>SUM(E163:E179)</f>
        <v>2514374</v>
      </c>
    </row>
    <row r="171" spans="1:8" ht="16.2" thickBot="1" x14ac:dyDescent="0.35">
      <c r="A171" s="24" t="s">
        <v>44</v>
      </c>
      <c r="B171" s="25"/>
      <c r="C171" s="25">
        <v>8</v>
      </c>
      <c r="E171" s="19">
        <v>296296</v>
      </c>
    </row>
    <row r="172" spans="1:8" ht="16.2" thickBot="1" x14ac:dyDescent="0.35">
      <c r="A172" s="24" t="s">
        <v>46</v>
      </c>
      <c r="B172" s="25"/>
      <c r="C172" s="25">
        <v>8</v>
      </c>
      <c r="E172" s="19">
        <v>316366</v>
      </c>
    </row>
    <row r="173" spans="1:8" ht="16.2" thickBot="1" x14ac:dyDescent="0.35">
      <c r="A173" s="24" t="s">
        <v>58</v>
      </c>
      <c r="B173" s="25"/>
      <c r="C173" s="25">
        <v>8</v>
      </c>
      <c r="E173" s="19">
        <v>40000</v>
      </c>
    </row>
    <row r="174" spans="1:8" ht="16.2" thickBot="1" x14ac:dyDescent="0.35">
      <c r="A174" s="24" t="s">
        <v>53</v>
      </c>
      <c r="B174" s="25"/>
      <c r="C174" s="25">
        <v>8</v>
      </c>
      <c r="E174" s="19">
        <v>92000</v>
      </c>
    </row>
    <row r="175" spans="1:8" ht="16.2" thickBot="1" x14ac:dyDescent="0.35">
      <c r="A175" s="24" t="s">
        <v>49</v>
      </c>
      <c r="B175" s="25"/>
      <c r="C175" s="25">
        <v>8</v>
      </c>
      <c r="E175" s="19">
        <v>420000</v>
      </c>
    </row>
    <row r="176" spans="1:8" ht="16.2" thickBot="1" x14ac:dyDescent="0.35">
      <c r="A176" s="24" t="s">
        <v>56</v>
      </c>
      <c r="B176" s="25"/>
      <c r="C176" s="25">
        <v>8</v>
      </c>
      <c r="E176" s="19">
        <v>173443</v>
      </c>
    </row>
    <row r="177" spans="1:5" ht="16.2" thickBot="1" x14ac:dyDescent="0.35">
      <c r="A177" s="17" t="s">
        <v>53</v>
      </c>
      <c r="B177" s="25"/>
      <c r="C177" s="25">
        <v>8</v>
      </c>
      <c r="E177" s="19">
        <v>92000</v>
      </c>
    </row>
    <row r="178" spans="1:5" ht="16.2" thickBot="1" x14ac:dyDescent="0.35">
      <c r="A178" s="17" t="s">
        <v>53</v>
      </c>
      <c r="C178" s="12">
        <v>8</v>
      </c>
      <c r="E178" s="19">
        <v>92000</v>
      </c>
    </row>
    <row r="179" spans="1:5" ht="16.2" thickBot="1" x14ac:dyDescent="0.35">
      <c r="A179" s="17" t="s">
        <v>20</v>
      </c>
      <c r="C179" s="12">
        <v>8</v>
      </c>
      <c r="E179" s="19">
        <v>137119</v>
      </c>
    </row>
    <row r="182" spans="1:5" ht="16.2" thickBot="1" x14ac:dyDescent="0.35">
      <c r="A182" s="17" t="s">
        <v>3</v>
      </c>
      <c r="C182" s="12">
        <v>50</v>
      </c>
      <c r="E182" s="19">
        <v>57777</v>
      </c>
    </row>
    <row r="183" spans="1:5" ht="16.2" thickBot="1" x14ac:dyDescent="0.35">
      <c r="A183" s="17" t="s">
        <v>6</v>
      </c>
      <c r="C183" s="12">
        <v>50</v>
      </c>
      <c r="E183" s="19">
        <v>239500</v>
      </c>
    </row>
    <row r="184" spans="1:5" ht="16.2" thickBot="1" x14ac:dyDescent="0.35">
      <c r="A184" s="17" t="s">
        <v>9</v>
      </c>
      <c r="C184" s="12">
        <v>50</v>
      </c>
      <c r="E184" s="19">
        <v>135463</v>
      </c>
    </row>
    <row r="185" spans="1:5" ht="16.2" thickBot="1" x14ac:dyDescent="0.35">
      <c r="A185" s="17" t="s">
        <v>12</v>
      </c>
      <c r="C185" s="12">
        <v>50</v>
      </c>
      <c r="E185" s="19">
        <v>160000</v>
      </c>
    </row>
    <row r="186" spans="1:5" ht="16.2" thickBot="1" x14ac:dyDescent="0.35">
      <c r="A186" s="17" t="s">
        <v>44</v>
      </c>
      <c r="C186" s="12">
        <v>50</v>
      </c>
      <c r="E186" s="19">
        <v>296296</v>
      </c>
    </row>
    <row r="187" spans="1:5" ht="16.2" thickBot="1" x14ac:dyDescent="0.35">
      <c r="A187" s="17" t="s">
        <v>46</v>
      </c>
      <c r="C187" s="12">
        <v>50</v>
      </c>
      <c r="E187" s="19">
        <v>316366</v>
      </c>
    </row>
    <row r="188" spans="1:5" ht="16.2" thickBot="1" x14ac:dyDescent="0.35">
      <c r="A188" s="17" t="s">
        <v>54</v>
      </c>
      <c r="C188" s="12">
        <v>50</v>
      </c>
      <c r="E188" s="19">
        <v>65932</v>
      </c>
    </row>
    <row r="189" spans="1:5" ht="16.2" thickBot="1" x14ac:dyDescent="0.35">
      <c r="A189" s="17" t="s">
        <v>56</v>
      </c>
      <c r="C189" s="12">
        <v>50</v>
      </c>
      <c r="E189" s="19">
        <v>173430</v>
      </c>
    </row>
    <row r="190" spans="1:5" ht="16.2" thickBot="1" x14ac:dyDescent="0.35">
      <c r="A190" s="17" t="s">
        <v>58</v>
      </c>
      <c r="C190" s="12">
        <v>50</v>
      </c>
      <c r="E190" s="19">
        <v>40000</v>
      </c>
    </row>
    <row r="191" spans="1:5" ht="16.2" thickBot="1" x14ac:dyDescent="0.35">
      <c r="A191" s="17" t="s">
        <v>49</v>
      </c>
      <c r="C191" s="12">
        <v>50</v>
      </c>
      <c r="E191" s="19">
        <v>420000</v>
      </c>
    </row>
    <row r="192" spans="1:5" ht="16.2" thickBot="1" x14ac:dyDescent="0.35">
      <c r="A192" s="4" t="s">
        <v>51</v>
      </c>
      <c r="C192" s="12">
        <v>50</v>
      </c>
      <c r="E192" s="19">
        <v>30000</v>
      </c>
    </row>
    <row r="193" spans="1:5" ht="16.2" thickBot="1" x14ac:dyDescent="0.35">
      <c r="A193" s="17" t="s">
        <v>0</v>
      </c>
      <c r="C193" s="12">
        <v>50</v>
      </c>
      <c r="E193" s="19">
        <v>50927</v>
      </c>
    </row>
    <row r="194" spans="1:5" ht="16.2" thickBot="1" x14ac:dyDescent="0.35">
      <c r="A194" s="4" t="s">
        <v>24</v>
      </c>
      <c r="C194" s="12">
        <v>50</v>
      </c>
      <c r="E194" s="19">
        <v>40370</v>
      </c>
    </row>
    <row r="195" spans="1:5" ht="16.2" thickBot="1" x14ac:dyDescent="0.35">
      <c r="A195" s="9" t="s">
        <v>14</v>
      </c>
      <c r="C195" s="12">
        <v>50</v>
      </c>
      <c r="E195" s="19">
        <v>40741</v>
      </c>
    </row>
    <row r="196" spans="1:5" ht="16.2" thickBot="1" x14ac:dyDescent="0.35">
      <c r="A196" s="4" t="s">
        <v>51</v>
      </c>
      <c r="C196" s="12">
        <v>50</v>
      </c>
      <c r="E196" s="19">
        <v>30000</v>
      </c>
    </row>
    <row r="197" spans="1:5" ht="16.2" thickBot="1" x14ac:dyDescent="0.35">
      <c r="A197" s="9" t="s">
        <v>14</v>
      </c>
      <c r="C197" s="12">
        <v>50</v>
      </c>
      <c r="E197" s="19">
        <v>40741</v>
      </c>
    </row>
    <row r="198" spans="1:5" ht="16.2" thickBot="1" x14ac:dyDescent="0.35">
      <c r="A198" s="4" t="s">
        <v>47</v>
      </c>
      <c r="C198" s="12">
        <v>50</v>
      </c>
      <c r="E198" s="19">
        <v>355000</v>
      </c>
    </row>
    <row r="199" spans="1:5" ht="16.2" thickBot="1" x14ac:dyDescent="0.35">
      <c r="A199" s="4" t="s">
        <v>16</v>
      </c>
      <c r="C199" s="12">
        <v>50</v>
      </c>
      <c r="E199" s="19">
        <v>40000</v>
      </c>
    </row>
    <row r="202" spans="1:5" ht="16.2" thickBot="1" x14ac:dyDescent="0.35">
      <c r="A202" s="24" t="s">
        <v>42</v>
      </c>
      <c r="B202" s="25"/>
      <c r="C202" s="25">
        <v>2</v>
      </c>
      <c r="E202" s="19">
        <v>42000</v>
      </c>
    </row>
    <row r="203" spans="1:5" ht="16.2" thickBot="1" x14ac:dyDescent="0.35">
      <c r="A203" s="24" t="s">
        <v>3</v>
      </c>
      <c r="B203" s="25"/>
      <c r="C203" s="25">
        <v>2</v>
      </c>
      <c r="E203" s="19">
        <v>57777</v>
      </c>
    </row>
    <row r="204" spans="1:5" ht="16.2" thickBot="1" x14ac:dyDescent="0.35">
      <c r="A204" s="24" t="s">
        <v>6</v>
      </c>
      <c r="B204" s="25"/>
      <c r="C204" s="25">
        <v>2</v>
      </c>
      <c r="E204" s="19">
        <v>239500</v>
      </c>
    </row>
    <row r="205" spans="1:5" ht="16.2" thickBot="1" x14ac:dyDescent="0.35">
      <c r="A205" s="24" t="s">
        <v>9</v>
      </c>
      <c r="B205" s="25"/>
      <c r="C205" s="25">
        <v>2</v>
      </c>
      <c r="E205" s="19">
        <v>135463</v>
      </c>
    </row>
    <row r="206" spans="1:5" ht="16.2" thickBot="1" x14ac:dyDescent="0.35">
      <c r="A206" s="24" t="s">
        <v>12</v>
      </c>
      <c r="B206" s="25"/>
      <c r="C206" s="25">
        <v>2</v>
      </c>
      <c r="E206" s="19">
        <v>160000</v>
      </c>
    </row>
    <row r="207" spans="1:5" ht="16.2" thickBot="1" x14ac:dyDescent="0.35">
      <c r="A207" s="24" t="s">
        <v>35</v>
      </c>
      <c r="B207" s="25"/>
      <c r="C207" s="25">
        <v>2</v>
      </c>
      <c r="E207" s="19">
        <v>42550</v>
      </c>
    </row>
    <row r="208" spans="1:5" ht="16.2" thickBot="1" x14ac:dyDescent="0.35">
      <c r="A208" s="24" t="s">
        <v>20</v>
      </c>
      <c r="B208" s="25"/>
      <c r="C208" s="25">
        <v>2</v>
      </c>
      <c r="E208" s="19">
        <v>137119</v>
      </c>
    </row>
    <row r="209" spans="1:5" ht="16.2" thickBot="1" x14ac:dyDescent="0.35">
      <c r="A209" s="24" t="s">
        <v>16</v>
      </c>
      <c r="B209" s="25"/>
      <c r="C209" s="25">
        <v>2</v>
      </c>
      <c r="E209" s="19">
        <v>40741</v>
      </c>
    </row>
    <row r="210" spans="1:5" ht="16.2" thickBot="1" x14ac:dyDescent="0.35">
      <c r="A210" s="24" t="s">
        <v>44</v>
      </c>
      <c r="B210" s="25"/>
      <c r="C210" s="25">
        <v>2</v>
      </c>
      <c r="E210" s="19">
        <v>296296</v>
      </c>
    </row>
    <row r="211" spans="1:5" ht="16.2" thickBot="1" x14ac:dyDescent="0.35">
      <c r="A211" s="24" t="s">
        <v>46</v>
      </c>
      <c r="B211" s="25"/>
      <c r="C211" s="25">
        <v>2</v>
      </c>
      <c r="E211" s="19">
        <v>316366</v>
      </c>
    </row>
    <row r="212" spans="1:5" ht="16.2" thickBot="1" x14ac:dyDescent="0.35">
      <c r="A212" s="24" t="s">
        <v>58</v>
      </c>
      <c r="B212" s="25"/>
      <c r="C212" s="25">
        <v>2</v>
      </c>
      <c r="E212" s="19">
        <v>40000</v>
      </c>
    </row>
    <row r="213" spans="1:5" ht="16.2" thickBot="1" x14ac:dyDescent="0.35">
      <c r="A213" s="24" t="s">
        <v>53</v>
      </c>
      <c r="B213" s="25"/>
      <c r="C213" s="25">
        <v>2</v>
      </c>
      <c r="E213" s="19">
        <v>92000</v>
      </c>
    </row>
    <row r="214" spans="1:5" ht="16.2" thickBot="1" x14ac:dyDescent="0.35">
      <c r="A214" s="24" t="s">
        <v>49</v>
      </c>
      <c r="B214" s="25"/>
      <c r="C214" s="25">
        <v>2</v>
      </c>
      <c r="E214" s="19">
        <v>420000</v>
      </c>
    </row>
    <row r="215" spans="1:5" ht="16.2" thickBot="1" x14ac:dyDescent="0.35">
      <c r="A215" s="24" t="s">
        <v>56</v>
      </c>
      <c r="B215" s="25"/>
      <c r="C215" s="25">
        <v>2</v>
      </c>
      <c r="E215" s="19">
        <v>173443</v>
      </c>
    </row>
    <row r="216" spans="1:5" ht="16.2" thickBot="1" x14ac:dyDescent="0.35">
      <c r="A216" s="17" t="s">
        <v>53</v>
      </c>
      <c r="B216" s="25"/>
      <c r="C216" s="25">
        <v>2</v>
      </c>
      <c r="E216" s="19">
        <v>92000</v>
      </c>
    </row>
    <row r="221" spans="1:5" ht="16.2" thickBot="1" x14ac:dyDescent="0.35">
      <c r="A221" s="17" t="s">
        <v>3</v>
      </c>
      <c r="C221" s="12">
        <v>15</v>
      </c>
      <c r="E221" s="19">
        <v>57777</v>
      </c>
    </row>
    <row r="222" spans="1:5" ht="16.2" thickBot="1" x14ac:dyDescent="0.35">
      <c r="A222" s="17" t="s">
        <v>6</v>
      </c>
      <c r="C222" s="12">
        <v>15</v>
      </c>
      <c r="E222" s="19">
        <v>239500</v>
      </c>
    </row>
    <row r="223" spans="1:5" ht="16.2" thickBot="1" x14ac:dyDescent="0.35">
      <c r="A223" s="17" t="s">
        <v>9</v>
      </c>
      <c r="C223" s="12">
        <v>15</v>
      </c>
      <c r="E223" s="19">
        <v>135463</v>
      </c>
    </row>
    <row r="224" spans="1:5" ht="16.2" thickBot="1" x14ac:dyDescent="0.35">
      <c r="A224" s="17" t="s">
        <v>12</v>
      </c>
      <c r="C224" s="12">
        <v>15</v>
      </c>
      <c r="E224" s="19">
        <v>160000</v>
      </c>
    </row>
    <row r="225" spans="1:8" ht="16.2" thickBot="1" x14ac:dyDescent="0.35">
      <c r="A225" s="17" t="s">
        <v>44</v>
      </c>
      <c r="C225" s="12">
        <v>15</v>
      </c>
      <c r="E225" s="19">
        <v>296296</v>
      </c>
    </row>
    <row r="226" spans="1:8" ht="16.2" thickBot="1" x14ac:dyDescent="0.35">
      <c r="A226" s="17" t="s">
        <v>46</v>
      </c>
      <c r="C226" s="12">
        <v>15</v>
      </c>
      <c r="E226" s="19">
        <v>316366</v>
      </c>
    </row>
    <row r="227" spans="1:8" ht="16.2" thickBot="1" x14ac:dyDescent="0.35">
      <c r="A227" s="17" t="s">
        <v>54</v>
      </c>
      <c r="C227" s="12">
        <v>15</v>
      </c>
      <c r="E227" s="19">
        <v>65932</v>
      </c>
      <c r="H227" s="8">
        <f>SUM(E221:E239)</f>
        <v>2177913</v>
      </c>
    </row>
    <row r="228" spans="1:8" ht="16.2" thickBot="1" x14ac:dyDescent="0.35">
      <c r="A228" s="17" t="s">
        <v>56</v>
      </c>
      <c r="C228" s="12">
        <v>15</v>
      </c>
      <c r="E228" s="19">
        <v>173430</v>
      </c>
    </row>
    <row r="229" spans="1:8" ht="16.2" thickBot="1" x14ac:dyDescent="0.35">
      <c r="A229" s="17" t="s">
        <v>58</v>
      </c>
      <c r="C229" s="12">
        <v>15</v>
      </c>
      <c r="E229" s="19">
        <v>40000</v>
      </c>
    </row>
    <row r="230" spans="1:8" ht="16.2" thickBot="1" x14ac:dyDescent="0.35">
      <c r="A230" s="17" t="s">
        <v>49</v>
      </c>
      <c r="C230" s="12">
        <v>15</v>
      </c>
      <c r="E230" s="19">
        <v>420000</v>
      </c>
    </row>
    <row r="231" spans="1:8" ht="16.2" thickBot="1" x14ac:dyDescent="0.35">
      <c r="A231" s="4" t="s">
        <v>51</v>
      </c>
      <c r="C231" s="12">
        <v>15</v>
      </c>
      <c r="E231" s="19">
        <v>30000</v>
      </c>
    </row>
    <row r="232" spans="1:8" ht="16.2" thickBot="1" x14ac:dyDescent="0.35">
      <c r="A232" s="17" t="s">
        <v>0</v>
      </c>
      <c r="C232" s="12">
        <v>15</v>
      </c>
      <c r="E232" s="19">
        <v>50927</v>
      </c>
    </row>
    <row r="233" spans="1:8" ht="16.2" thickBot="1" x14ac:dyDescent="0.35">
      <c r="A233" s="4" t="s">
        <v>24</v>
      </c>
      <c r="C233" s="12">
        <v>15</v>
      </c>
      <c r="E233" s="19">
        <v>40370</v>
      </c>
    </row>
    <row r="234" spans="1:8" ht="16.2" thickBot="1" x14ac:dyDescent="0.35">
      <c r="A234" s="9" t="s">
        <v>14</v>
      </c>
      <c r="C234" s="12">
        <v>15</v>
      </c>
      <c r="E234" s="19">
        <v>40741</v>
      </c>
    </row>
    <row r="235" spans="1:8" ht="16.2" thickBot="1" x14ac:dyDescent="0.35">
      <c r="A235" s="4" t="s">
        <v>51</v>
      </c>
      <c r="C235" s="12">
        <v>15</v>
      </c>
      <c r="E235" s="19">
        <v>30000</v>
      </c>
    </row>
    <row r="236" spans="1:8" ht="16.2" thickBot="1" x14ac:dyDescent="0.35">
      <c r="A236" s="9" t="s">
        <v>14</v>
      </c>
      <c r="C236" s="12">
        <v>15</v>
      </c>
      <c r="E236" s="19">
        <v>40741</v>
      </c>
    </row>
    <row r="237" spans="1:8" ht="16.2" thickBot="1" x14ac:dyDescent="0.35">
      <c r="A237" s="4" t="s">
        <v>24</v>
      </c>
      <c r="C237" s="12">
        <v>15</v>
      </c>
      <c r="E237" s="19">
        <v>40370</v>
      </c>
    </row>
    <row r="243" spans="1:5" ht="16.2" thickBot="1" x14ac:dyDescent="0.35">
      <c r="A243" s="17" t="s">
        <v>35</v>
      </c>
      <c r="C243" s="12">
        <v>1</v>
      </c>
      <c r="E243" s="19">
        <v>42550</v>
      </c>
    </row>
    <row r="244" spans="1:5" ht="16.2" thickBot="1" x14ac:dyDescent="0.35">
      <c r="A244" s="4" t="s">
        <v>51</v>
      </c>
      <c r="C244" s="12">
        <v>1</v>
      </c>
      <c r="E244" s="19">
        <v>30000</v>
      </c>
    </row>
    <row r="245" spans="1:5" ht="16.2" thickBot="1" x14ac:dyDescent="0.35">
      <c r="A245" s="17" t="s">
        <v>12</v>
      </c>
      <c r="C245" s="12">
        <v>1</v>
      </c>
      <c r="E245" s="19">
        <v>160000</v>
      </c>
    </row>
    <row r="246" spans="1:5" ht="16.2" thickBot="1" x14ac:dyDescent="0.35">
      <c r="A246" s="17" t="s">
        <v>3</v>
      </c>
      <c r="C246" s="12">
        <v>1</v>
      </c>
      <c r="E246" s="19">
        <v>57777</v>
      </c>
    </row>
    <row r="247" spans="1:5" ht="16.2" thickBot="1" x14ac:dyDescent="0.35">
      <c r="A247" s="17" t="s">
        <v>6</v>
      </c>
      <c r="C247" s="12">
        <v>1</v>
      </c>
      <c r="E247" s="19">
        <v>239500</v>
      </c>
    </row>
    <row r="248" spans="1:5" ht="16.2" thickBot="1" x14ac:dyDescent="0.35">
      <c r="A248" s="17" t="s">
        <v>9</v>
      </c>
      <c r="C248" s="12">
        <v>1</v>
      </c>
      <c r="E248" s="19">
        <v>135463</v>
      </c>
    </row>
    <row r="249" spans="1:5" ht="16.2" thickBot="1" x14ac:dyDescent="0.35">
      <c r="A249" s="4" t="s">
        <v>22</v>
      </c>
      <c r="C249" s="12">
        <v>1</v>
      </c>
      <c r="E249" s="19">
        <v>158333</v>
      </c>
    </row>
    <row r="250" spans="1:5" ht="16.2" thickBot="1" x14ac:dyDescent="0.35">
      <c r="A250" s="17" t="s">
        <v>0</v>
      </c>
      <c r="C250" s="12">
        <v>1</v>
      </c>
      <c r="E250" s="19">
        <v>50927</v>
      </c>
    </row>
    <row r="251" spans="1:5" ht="16.2" thickBot="1" x14ac:dyDescent="0.35">
      <c r="A251" s="4" t="s">
        <v>24</v>
      </c>
      <c r="C251" s="12">
        <v>1</v>
      </c>
      <c r="E251" s="19">
        <v>40370</v>
      </c>
    </row>
    <row r="252" spans="1:5" ht="16.2" thickBot="1" x14ac:dyDescent="0.35">
      <c r="A252" s="4" t="s">
        <v>26</v>
      </c>
      <c r="C252" s="12">
        <v>1</v>
      </c>
      <c r="E252" s="19">
        <v>82000</v>
      </c>
    </row>
    <row r="253" spans="1:5" ht="16.2" thickBot="1" x14ac:dyDescent="0.35">
      <c r="A253" s="4" t="s">
        <v>29</v>
      </c>
      <c r="C253" s="12">
        <v>1</v>
      </c>
      <c r="E253" s="19">
        <v>68000</v>
      </c>
    </row>
    <row r="254" spans="1:5" ht="16.2" thickBot="1" x14ac:dyDescent="0.35">
      <c r="A254" s="4" t="s">
        <v>32</v>
      </c>
      <c r="C254" s="12">
        <v>1</v>
      </c>
      <c r="E254" s="19">
        <v>93550</v>
      </c>
    </row>
    <row r="255" spans="1:5" ht="16.2" thickBot="1" x14ac:dyDescent="0.35">
      <c r="A255" s="17" t="s">
        <v>44</v>
      </c>
      <c r="C255" s="12">
        <v>1</v>
      </c>
      <c r="E255" s="19">
        <v>296296</v>
      </c>
    </row>
    <row r="256" spans="1:5" ht="16.2" thickBot="1" x14ac:dyDescent="0.35">
      <c r="A256" s="17" t="s">
        <v>46</v>
      </c>
      <c r="C256" s="12">
        <v>1</v>
      </c>
      <c r="E256" s="19">
        <v>316366</v>
      </c>
    </row>
    <row r="257" spans="1:5" ht="16.2" thickBot="1" x14ac:dyDescent="0.35">
      <c r="A257" s="4" t="s">
        <v>47</v>
      </c>
      <c r="C257" s="12">
        <v>1</v>
      </c>
      <c r="E257" s="19">
        <v>355000</v>
      </c>
    </row>
    <row r="258" spans="1:5" ht="16.2" thickBot="1" x14ac:dyDescent="0.35">
      <c r="A258" s="17" t="s">
        <v>54</v>
      </c>
      <c r="C258" s="12">
        <v>1</v>
      </c>
      <c r="E258" s="7">
        <v>173430</v>
      </c>
    </row>
    <row r="259" spans="1:5" ht="16.2" thickBot="1" x14ac:dyDescent="0.35">
      <c r="A259" s="17" t="s">
        <v>56</v>
      </c>
      <c r="C259" s="12">
        <v>1</v>
      </c>
      <c r="E259" s="7">
        <v>40000</v>
      </c>
    </row>
    <row r="260" spans="1:5" ht="16.2" thickBot="1" x14ac:dyDescent="0.35">
      <c r="A260" s="21" t="s">
        <v>58</v>
      </c>
      <c r="C260" s="12">
        <v>1</v>
      </c>
      <c r="E260" s="19">
        <v>40000</v>
      </c>
    </row>
    <row r="261" spans="1:5" ht="16.2" thickBot="1" x14ac:dyDescent="0.35">
      <c r="A261" s="17" t="s">
        <v>49</v>
      </c>
      <c r="C261" s="12">
        <v>1</v>
      </c>
      <c r="E261" s="19">
        <v>420000</v>
      </c>
    </row>
    <row r="262" spans="1:5" ht="16.2" thickBot="1" x14ac:dyDescent="0.35">
      <c r="A262" s="4" t="s">
        <v>47</v>
      </c>
      <c r="C262" s="12">
        <v>1</v>
      </c>
      <c r="E262" s="19">
        <v>355000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sqref="A1:I23"/>
    </sheetView>
  </sheetViews>
  <sheetFormatPr defaultRowHeight="14.4" x14ac:dyDescent="0.3"/>
  <sheetData>
    <row r="1" spans="1:9" x14ac:dyDescent="0.3">
      <c r="E1" s="7"/>
      <c r="I1" s="12"/>
    </row>
    <row r="2" spans="1:9" ht="16.2" thickBot="1" x14ac:dyDescent="0.35">
      <c r="A2" s="4" t="s">
        <v>18</v>
      </c>
      <c r="C2">
        <v>7</v>
      </c>
      <c r="E2" s="7">
        <v>36000</v>
      </c>
      <c r="H2" s="8">
        <f>SUM(E2:E14)+420000</f>
        <v>2049424</v>
      </c>
      <c r="I2" s="12"/>
    </row>
    <row r="3" spans="1:9" ht="16.2" thickBot="1" x14ac:dyDescent="0.35">
      <c r="A3" s="4" t="s">
        <v>26</v>
      </c>
      <c r="C3">
        <v>7</v>
      </c>
      <c r="E3" s="7">
        <v>82000</v>
      </c>
      <c r="I3" s="12"/>
    </row>
    <row r="4" spans="1:9" ht="16.2" thickBot="1" x14ac:dyDescent="0.35">
      <c r="A4" s="9" t="s">
        <v>14</v>
      </c>
      <c r="C4">
        <v>7</v>
      </c>
      <c r="E4" s="7">
        <v>40741</v>
      </c>
      <c r="I4" s="12"/>
    </row>
    <row r="5" spans="1:9" ht="16.2" thickBot="1" x14ac:dyDescent="0.35">
      <c r="A5" s="4" t="s">
        <v>22</v>
      </c>
      <c r="C5">
        <v>7</v>
      </c>
      <c r="E5" s="7">
        <v>158333</v>
      </c>
      <c r="I5" s="12"/>
    </row>
    <row r="6" spans="1:9" ht="16.2" thickBot="1" x14ac:dyDescent="0.35">
      <c r="A6" s="4" t="s">
        <v>47</v>
      </c>
      <c r="C6">
        <v>7</v>
      </c>
      <c r="E6" s="7">
        <v>355000</v>
      </c>
      <c r="I6" s="12"/>
    </row>
    <row r="7" spans="1:9" ht="16.2" thickBot="1" x14ac:dyDescent="0.35">
      <c r="A7" s="17" t="s">
        <v>49</v>
      </c>
      <c r="C7">
        <v>14</v>
      </c>
      <c r="E7" s="7">
        <v>420000</v>
      </c>
      <c r="I7" s="12"/>
    </row>
    <row r="8" spans="1:9" ht="16.2" thickBot="1" x14ac:dyDescent="0.35">
      <c r="A8" s="4" t="s">
        <v>51</v>
      </c>
      <c r="C8">
        <v>7</v>
      </c>
      <c r="E8" s="7">
        <v>30000</v>
      </c>
      <c r="I8" s="12"/>
    </row>
    <row r="9" spans="1:9" ht="16.2" thickBot="1" x14ac:dyDescent="0.35">
      <c r="A9" s="4" t="s">
        <v>29</v>
      </c>
      <c r="C9">
        <v>7</v>
      </c>
      <c r="E9" s="7">
        <v>68000</v>
      </c>
      <c r="I9" s="12"/>
    </row>
    <row r="10" spans="1:9" ht="16.2" thickBot="1" x14ac:dyDescent="0.35">
      <c r="A10" s="4" t="s">
        <v>32</v>
      </c>
      <c r="C10">
        <v>7</v>
      </c>
      <c r="E10" s="7">
        <v>93550</v>
      </c>
      <c r="I10" s="12"/>
    </row>
    <row r="11" spans="1:9" ht="16.2" thickBot="1" x14ac:dyDescent="0.35">
      <c r="A11" s="17" t="s">
        <v>56</v>
      </c>
      <c r="C11">
        <v>7</v>
      </c>
      <c r="E11" s="7">
        <v>173430</v>
      </c>
      <c r="I11" s="12"/>
    </row>
    <row r="12" spans="1:9" ht="16.2" thickBot="1" x14ac:dyDescent="0.35">
      <c r="A12" s="21" t="s">
        <v>58</v>
      </c>
      <c r="C12">
        <v>7</v>
      </c>
      <c r="E12" s="7">
        <v>40000</v>
      </c>
      <c r="I12" s="12"/>
    </row>
    <row r="13" spans="1:9" ht="16.2" thickBot="1" x14ac:dyDescent="0.35">
      <c r="A13" s="4" t="s">
        <v>24</v>
      </c>
      <c r="C13">
        <v>7</v>
      </c>
      <c r="E13" s="7">
        <v>40370</v>
      </c>
      <c r="I13" s="12"/>
    </row>
    <row r="14" spans="1:9" ht="16.2" thickBot="1" x14ac:dyDescent="0.35">
      <c r="A14" s="17" t="s">
        <v>53</v>
      </c>
      <c r="C14">
        <v>7</v>
      </c>
      <c r="E14" s="7">
        <v>92000</v>
      </c>
      <c r="I14" s="12"/>
    </row>
    <row r="15" spans="1:9" ht="16.2" thickBot="1" x14ac:dyDescent="0.35">
      <c r="A15" s="17" t="s">
        <v>54</v>
      </c>
      <c r="C15">
        <v>7</v>
      </c>
      <c r="E15" s="7">
        <v>65932</v>
      </c>
      <c r="I15" s="12"/>
    </row>
    <row r="16" spans="1:9" x14ac:dyDescent="0.3">
      <c r="E16" s="7"/>
      <c r="I16" s="12"/>
    </row>
    <row r="17" spans="5:9" x14ac:dyDescent="0.3">
      <c r="E17" s="7"/>
      <c r="I17" s="12"/>
    </row>
    <row r="18" spans="5:9" x14ac:dyDescent="0.3">
      <c r="E18" s="7"/>
      <c r="I18" s="12"/>
    </row>
    <row r="19" spans="5:9" x14ac:dyDescent="0.3">
      <c r="E19" s="7"/>
      <c r="I19" s="12"/>
    </row>
    <row r="20" spans="5:9" x14ac:dyDescent="0.3">
      <c r="E20" s="7"/>
      <c r="I20" s="12"/>
    </row>
    <row r="21" spans="5:9" x14ac:dyDescent="0.3">
      <c r="E21" s="7"/>
      <c r="I21" s="12"/>
    </row>
    <row r="22" spans="5:9" x14ac:dyDescent="0.3">
      <c r="E22" s="7"/>
      <c r="I22" s="12"/>
    </row>
    <row r="23" spans="5:9" x14ac:dyDescent="0.3">
      <c r="E23" s="7"/>
      <c r="I23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2026-03-12T02:21:16Z</dcterms:created>
  <dcterms:modified xsi:type="dcterms:W3CDTF">2026-03-12T05:37:16Z</dcterms:modified>
</cp:coreProperties>
</file>