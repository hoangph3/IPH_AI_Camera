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1" l="1"/>
  <c r="F31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3" i="1"/>
</calcChain>
</file>

<file path=xl/sharedStrings.xml><?xml version="1.0" encoding="utf-8"?>
<sst xmlns="http://schemas.openxmlformats.org/spreadsheetml/2006/main" count="77" uniqueCount="55">
  <si>
    <t>Tên hàng</t>
  </si>
  <si>
    <t>ĐVT</t>
  </si>
  <si>
    <t> Số lượng</t>
  </si>
  <si>
    <t>Trọng lượng</t>
  </si>
  <si>
    <t>Bánh CHOCOPIE hộp 12 cái 435.6g</t>
  </si>
  <si>
    <t>Hộp</t>
  </si>
  <si>
    <t>435.6g/hộp</t>
  </si>
  <si>
    <t>Bánh Danisa Butter Cookies Heart Shape - Box 6x264 Hộp</t>
  </si>
  <si>
    <t>Bánh Danisa Butter Cookies-12x454G</t>
  </si>
  <si>
    <t>454G/Hộp</t>
  </si>
  <si>
    <t>Bánh gạo An - Tảo 14P 10Y21 x 4 gói</t>
  </si>
  <si>
    <t>Gói</t>
  </si>
  <si>
    <t>800g/Bịch</t>
  </si>
  <si>
    <t>Bánh qui bơ Leibniz 200g</t>
  </si>
  <si>
    <t>Thanh</t>
  </si>
  <si>
    <t>200g/gói</t>
  </si>
  <si>
    <t>Bánh quy Julies Assorted Biscuits 150g HT Chữ nhật nhỏ</t>
  </si>
  <si>
    <t>150g/hộp</t>
  </si>
  <si>
    <t>Bia lon 333 (PAT2)</t>
  </si>
  <si>
    <t>Thùng</t>
  </si>
  <si>
    <t>Cà phê G7 3in1 - Bịch 50 sachets</t>
  </si>
  <si>
    <t>Bịch</t>
  </si>
  <si>
    <t>Cà phê hòa tan Tchibo Gold - 100g (767599)</t>
  </si>
  <si>
    <t>Lọ</t>
  </si>
  <si>
    <t>100g/hộp</t>
  </si>
  <si>
    <t>Hộp mica đựng quà tết</t>
  </si>
  <si>
    <t>Cái</t>
  </si>
  <si>
    <t>I ( Khát vọng) 500gr</t>
  </si>
  <si>
    <t>500g/hộp</t>
  </si>
  <si>
    <t>Kẹo ngậm Crytal Shoe vị trái cây 240g</t>
  </si>
  <si>
    <t>240g/Gói</t>
  </si>
  <si>
    <t>Kẹo Dynamite BigBang 330g x 24 ( Bịch 5 gói)</t>
  </si>
  <si>
    <t>330/gói</t>
  </si>
  <si>
    <t>Kẹo Kopiko Cappuccino - Bag 12 x 350G(Normal)</t>
  </si>
  <si>
    <t>Bag</t>
  </si>
  <si>
    <t>350g/gói</t>
  </si>
  <si>
    <t>Kẹo Kopiko Coffee - Bag 24x41</t>
  </si>
  <si>
    <t>Kẹo SCL có nhân Ferrero Rocher 300g 24 viên (4)</t>
  </si>
  <si>
    <t>200g/hộp</t>
  </si>
  <si>
    <t>Kẹo SCL Ferrero Rocher Geschenk box</t>
  </si>
  <si>
    <t>KIT KAT CACAO DAM VI THANH 4F 35G (F/W)</t>
  </si>
  <si>
    <t>35g/thanh</t>
  </si>
  <si>
    <t>KIT KAT THANH 4F 35G (B/F) COCOA</t>
  </si>
  <si>
    <t>LIPTON TRA NHAN VANG 24X50SX2G-JAPAN</t>
  </si>
  <si>
    <t>LIPTON TRA NHAN VANG 36X100X2G</t>
  </si>
  <si>
    <t>Nước yến sào Khánh Hòa Sanest Fucoidan nhân sâm lọ 70ml</t>
  </si>
  <si>
    <t>70ml/lọ</t>
  </si>
  <si>
    <t>Socola vien Milo Nuggets 25g</t>
  </si>
  <si>
    <t>25g/gói</t>
  </si>
  <si>
    <t>Bánh Roma Malkist Assorted Crackers-Box 10 x 312G(</t>
  </si>
  <si>
    <t>312g/hộp</t>
  </si>
  <si>
    <t>Trà Basilur Island Of Tea - Gold</t>
  </si>
  <si>
    <t>100g/Hộp</t>
  </si>
  <si>
    <t>Trà Dilmah hương Đào loại túi lọc 020/1.5g/12 x 4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</si>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</sst>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9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9" fontId="2" fillId="0" borderId="0" xfId="1" applyNumberFormat="1" applyFont="1" applyAlignment="1">
      <alignment vertical="center" wrapText="1"/>
    </xf>
    <xf numFmtId="169" fontId="0" fillId="0" borderId="0" xfId="1" applyNumberFormat="1" applyFont="1"/>
    <xf numFmtId="169" fontId="0" fillId="3" borderId="0" xfId="1" applyNumberFormat="1" applyFont="1" applyFill="1"/>
    <xf numFmtId="16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F33" sqref="F33"/>
    </sheetView>
  </sheetViews>
  <sheetFormatPr defaultRowHeight="14.4" x14ac:dyDescent="0.3"/>
  <cols>
    <col min="1" max="1" width="57" customWidth="1"/>
    <col min="3" max="3" width="13.5546875" customWidth="1"/>
    <col min="5" max="5" width="11" style="8" bestFit="1" customWidth="1"/>
    <col min="6" max="6" width="12.21875" bestFit="1" customWidth="1"/>
  </cols>
  <sheetData>
    <row r="1" spans="1:6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7"/>
    </row>
    <row r="2" spans="1:6" ht="16.2" thickBot="1" x14ac:dyDescent="0.35">
      <c r="A2" s="5"/>
      <c r="B2" s="5"/>
      <c r="C2" s="5"/>
      <c r="D2" s="5"/>
      <c r="E2" s="7"/>
    </row>
    <row r="3" spans="1:6" ht="16.2" thickBot="1" x14ac:dyDescent="0.35">
      <c r="A3" s="1" t="s">
        <v>4</v>
      </c>
      <c r="B3" s="2" t="s">
        <v>5</v>
      </c>
      <c r="C3" s="3">
        <v>258</v>
      </c>
      <c r="D3" s="3" t="s">
        <v>6</v>
      </c>
      <c r="E3" s="7">
        <v>40000</v>
      </c>
      <c r="F3" s="10">
        <f>E3*C3</f>
        <v>10320000</v>
      </c>
    </row>
    <row r="4" spans="1:6" ht="16.2" thickBot="1" x14ac:dyDescent="0.35">
      <c r="A4" s="1" t="s">
        <v>7</v>
      </c>
      <c r="B4" s="2" t="s">
        <v>5</v>
      </c>
      <c r="C4" s="3">
        <v>166</v>
      </c>
      <c r="D4" s="3"/>
      <c r="E4" s="7">
        <v>138000</v>
      </c>
      <c r="F4" s="10">
        <f t="shared" ref="F4:F28" si="0">E4*C4</f>
        <v>22908000</v>
      </c>
    </row>
    <row r="5" spans="1:6" ht="15" thickBot="1" x14ac:dyDescent="0.35">
      <c r="A5" s="1" t="s">
        <v>8</v>
      </c>
      <c r="B5" s="2" t="s">
        <v>5</v>
      </c>
      <c r="C5" s="3">
        <v>92</v>
      </c>
      <c r="D5" s="3" t="s">
        <v>9</v>
      </c>
      <c r="E5" s="9">
        <v>137118.51999999999</v>
      </c>
      <c r="F5" s="10">
        <f t="shared" si="0"/>
        <v>12614903.84</v>
      </c>
    </row>
    <row r="6" spans="1:6" ht="16.2" thickBot="1" x14ac:dyDescent="0.35">
      <c r="A6" s="1" t="s">
        <v>10</v>
      </c>
      <c r="B6" s="2" t="s">
        <v>11</v>
      </c>
      <c r="C6" s="3">
        <v>258</v>
      </c>
      <c r="D6" s="3" t="s">
        <v>12</v>
      </c>
      <c r="E6" s="7">
        <v>68000</v>
      </c>
      <c r="F6" s="10">
        <f t="shared" si="0"/>
        <v>17544000</v>
      </c>
    </row>
    <row r="7" spans="1:6" ht="16.2" thickBot="1" x14ac:dyDescent="0.35">
      <c r="A7" s="1" t="s">
        <v>13</v>
      </c>
      <c r="B7" s="2" t="s">
        <v>14</v>
      </c>
      <c r="C7" s="3">
        <v>258</v>
      </c>
      <c r="D7" s="3" t="s">
        <v>15</v>
      </c>
      <c r="E7" s="7">
        <v>50927</v>
      </c>
      <c r="F7" s="10">
        <f t="shared" si="0"/>
        <v>13139166</v>
      </c>
    </row>
    <row r="8" spans="1:6" ht="16.2" thickBot="1" x14ac:dyDescent="0.35">
      <c r="A8" s="1" t="s">
        <v>16</v>
      </c>
      <c r="B8" s="2" t="s">
        <v>5</v>
      </c>
      <c r="C8" s="3">
        <v>258</v>
      </c>
      <c r="D8" s="3" t="s">
        <v>17</v>
      </c>
      <c r="E8" s="7">
        <v>57777</v>
      </c>
      <c r="F8" s="10">
        <f t="shared" si="0"/>
        <v>14906466</v>
      </c>
    </row>
    <row r="9" spans="1:6" ht="16.2" thickBot="1" x14ac:dyDescent="0.35">
      <c r="A9" s="1" t="s">
        <v>18</v>
      </c>
      <c r="B9" s="2" t="s">
        <v>19</v>
      </c>
      <c r="C9" s="3">
        <v>258</v>
      </c>
      <c r="D9" s="3"/>
      <c r="E9" s="7">
        <v>239500</v>
      </c>
      <c r="F9" s="10">
        <f t="shared" si="0"/>
        <v>61791000</v>
      </c>
    </row>
    <row r="10" spans="1:6" ht="16.2" thickBot="1" x14ac:dyDescent="0.35">
      <c r="A10" s="1" t="s">
        <v>20</v>
      </c>
      <c r="B10" s="2" t="s">
        <v>21</v>
      </c>
      <c r="C10" s="3">
        <v>258</v>
      </c>
      <c r="D10" s="3"/>
      <c r="E10" s="7">
        <v>132047</v>
      </c>
      <c r="F10" s="10">
        <f t="shared" si="0"/>
        <v>34068126</v>
      </c>
    </row>
    <row r="11" spans="1:6" ht="16.2" thickBot="1" x14ac:dyDescent="0.35">
      <c r="A11" s="1" t="s">
        <v>22</v>
      </c>
      <c r="B11" s="2" t="s">
        <v>23</v>
      </c>
      <c r="C11" s="3">
        <v>258</v>
      </c>
      <c r="D11" s="3" t="s">
        <v>24</v>
      </c>
      <c r="E11" s="7">
        <v>135463</v>
      </c>
      <c r="F11" s="10">
        <f t="shared" si="0"/>
        <v>34949454</v>
      </c>
    </row>
    <row r="12" spans="1:6" ht="16.2" thickBot="1" x14ac:dyDescent="0.35">
      <c r="A12" s="1" t="s">
        <v>25</v>
      </c>
      <c r="B12" s="2" t="s">
        <v>26</v>
      </c>
      <c r="C12" s="3">
        <v>258</v>
      </c>
      <c r="D12" s="3"/>
      <c r="E12" s="7">
        <v>160000</v>
      </c>
      <c r="F12" s="10">
        <f t="shared" si="0"/>
        <v>41280000</v>
      </c>
    </row>
    <row r="13" spans="1:6" ht="16.2" thickBot="1" x14ac:dyDescent="0.35">
      <c r="A13" s="1" t="s">
        <v>27</v>
      </c>
      <c r="B13" s="2" t="s">
        <v>5</v>
      </c>
      <c r="C13" s="3">
        <v>200</v>
      </c>
      <c r="D13" s="3" t="s">
        <v>28</v>
      </c>
      <c r="E13" s="7">
        <v>138889</v>
      </c>
      <c r="F13" s="10">
        <f t="shared" si="0"/>
        <v>27777800</v>
      </c>
    </row>
    <row r="14" spans="1:6" ht="16.2" thickBot="1" x14ac:dyDescent="0.35">
      <c r="A14" s="1" t="s">
        <v>29</v>
      </c>
      <c r="B14" s="2" t="s">
        <v>11</v>
      </c>
      <c r="C14" s="3">
        <v>58</v>
      </c>
      <c r="D14" s="3" t="s">
        <v>30</v>
      </c>
      <c r="E14" s="7">
        <v>47750</v>
      </c>
      <c r="F14" s="10">
        <f t="shared" si="0"/>
        <v>2769500</v>
      </c>
    </row>
    <row r="15" spans="1:6" ht="16.2" thickBot="1" x14ac:dyDescent="0.35">
      <c r="A15" s="1" t="s">
        <v>31</v>
      </c>
      <c r="B15" s="2" t="s">
        <v>21</v>
      </c>
      <c r="C15" s="3">
        <v>200</v>
      </c>
      <c r="D15" s="3" t="s">
        <v>32</v>
      </c>
      <c r="E15" s="7">
        <v>104722</v>
      </c>
      <c r="F15" s="10">
        <f t="shared" si="0"/>
        <v>20944400</v>
      </c>
    </row>
    <row r="16" spans="1:6" ht="16.2" thickBot="1" x14ac:dyDescent="0.35">
      <c r="A16" s="1" t="s">
        <v>33</v>
      </c>
      <c r="B16" s="2" t="s">
        <v>34</v>
      </c>
      <c r="C16" s="3">
        <v>58</v>
      </c>
      <c r="D16" s="3" t="s">
        <v>35</v>
      </c>
      <c r="E16" s="7">
        <v>23700</v>
      </c>
      <c r="F16" s="10">
        <f t="shared" si="0"/>
        <v>1374600</v>
      </c>
    </row>
    <row r="17" spans="1:6" ht="16.2" thickBot="1" x14ac:dyDescent="0.35">
      <c r="A17" s="1" t="s">
        <v>36</v>
      </c>
      <c r="B17" s="2" t="s">
        <v>34</v>
      </c>
      <c r="C17" s="3">
        <v>258</v>
      </c>
      <c r="D17" s="3"/>
      <c r="E17" s="7">
        <v>42000</v>
      </c>
      <c r="F17" s="10">
        <f t="shared" si="0"/>
        <v>10836000</v>
      </c>
    </row>
    <row r="18" spans="1:6" ht="16.2" thickBot="1" x14ac:dyDescent="0.35">
      <c r="A18" s="1" t="s">
        <v>37</v>
      </c>
      <c r="B18" s="2" t="s">
        <v>5</v>
      </c>
      <c r="C18" s="3">
        <v>258</v>
      </c>
      <c r="D18" s="3" t="s">
        <v>38</v>
      </c>
      <c r="E18" s="7">
        <v>296296</v>
      </c>
      <c r="F18" s="10">
        <f t="shared" si="0"/>
        <v>76444368</v>
      </c>
    </row>
    <row r="19" spans="1:6" ht="16.2" thickBot="1" x14ac:dyDescent="0.35">
      <c r="A19" s="1" t="s">
        <v>39</v>
      </c>
      <c r="B19" s="2" t="s">
        <v>5</v>
      </c>
      <c r="C19" s="3">
        <v>258</v>
      </c>
      <c r="D19" s="3" t="s">
        <v>38</v>
      </c>
      <c r="E19" s="7">
        <v>316366</v>
      </c>
      <c r="F19" s="10">
        <f t="shared" si="0"/>
        <v>81622428</v>
      </c>
    </row>
    <row r="20" spans="1:6" ht="16.2" thickBot="1" x14ac:dyDescent="0.35">
      <c r="A20" s="1" t="s">
        <v>40</v>
      </c>
      <c r="B20" s="2" t="s">
        <v>5</v>
      </c>
      <c r="C20" s="3">
        <v>226</v>
      </c>
      <c r="D20" s="3" t="s">
        <v>41</v>
      </c>
      <c r="E20" s="7">
        <v>340000</v>
      </c>
      <c r="F20" s="10">
        <f t="shared" si="0"/>
        <v>76840000</v>
      </c>
    </row>
    <row r="21" spans="1:6" ht="16.2" thickBot="1" x14ac:dyDescent="0.35">
      <c r="A21" s="1" t="s">
        <v>42</v>
      </c>
      <c r="B21" s="2" t="s">
        <v>5</v>
      </c>
      <c r="C21" s="3">
        <v>32</v>
      </c>
      <c r="D21" s="3" t="s">
        <v>41</v>
      </c>
      <c r="E21" s="7">
        <v>355000</v>
      </c>
      <c r="F21" s="10">
        <f t="shared" si="0"/>
        <v>11360000</v>
      </c>
    </row>
    <row r="22" spans="1:6" ht="16.2" thickBot="1" x14ac:dyDescent="0.35">
      <c r="A22" s="1" t="s">
        <v>43</v>
      </c>
      <c r="B22" s="2" t="s">
        <v>5</v>
      </c>
      <c r="C22" s="3">
        <v>226</v>
      </c>
      <c r="D22" s="3" t="s">
        <v>38</v>
      </c>
      <c r="E22" s="7">
        <v>55000</v>
      </c>
      <c r="F22" s="10">
        <f t="shared" si="0"/>
        <v>12430000</v>
      </c>
    </row>
    <row r="23" spans="1:6" ht="16.2" thickBot="1" x14ac:dyDescent="0.35">
      <c r="A23" s="1" t="s">
        <v>44</v>
      </c>
      <c r="B23" s="2" t="s">
        <v>5</v>
      </c>
      <c r="C23" s="3">
        <v>32</v>
      </c>
      <c r="D23" s="3" t="s">
        <v>38</v>
      </c>
      <c r="E23" s="7">
        <v>92000</v>
      </c>
      <c r="F23" s="10">
        <f t="shared" si="0"/>
        <v>2944000</v>
      </c>
    </row>
    <row r="24" spans="1:6" ht="16.2" thickBot="1" x14ac:dyDescent="0.35">
      <c r="A24" s="1" t="s">
        <v>45</v>
      </c>
      <c r="B24" s="2" t="s">
        <v>23</v>
      </c>
      <c r="C24" s="3">
        <v>258</v>
      </c>
      <c r="D24" s="3" t="s">
        <v>46</v>
      </c>
      <c r="E24" s="7">
        <v>39000</v>
      </c>
      <c r="F24" s="10">
        <f t="shared" si="0"/>
        <v>10062000</v>
      </c>
    </row>
    <row r="25" spans="1:6" ht="16.2" thickBot="1" x14ac:dyDescent="0.35">
      <c r="A25" s="1" t="s">
        <v>47</v>
      </c>
      <c r="B25" s="2" t="s">
        <v>11</v>
      </c>
      <c r="C25" s="3">
        <v>226</v>
      </c>
      <c r="D25" s="3" t="s">
        <v>48</v>
      </c>
      <c r="E25" s="7">
        <v>14100</v>
      </c>
      <c r="F25" s="10">
        <f t="shared" si="0"/>
        <v>3186600</v>
      </c>
    </row>
    <row r="26" spans="1:6" ht="16.2" thickBot="1" x14ac:dyDescent="0.35">
      <c r="A26" s="1" t="s">
        <v>49</v>
      </c>
      <c r="B26" s="2" t="s">
        <v>5</v>
      </c>
      <c r="C26" s="3">
        <v>32</v>
      </c>
      <c r="D26" s="3" t="s">
        <v>50</v>
      </c>
      <c r="E26" s="7">
        <v>42550</v>
      </c>
      <c r="F26" s="10">
        <f t="shared" si="0"/>
        <v>1361600</v>
      </c>
    </row>
    <row r="27" spans="1:6" ht="16.2" thickBot="1" x14ac:dyDescent="0.35">
      <c r="A27" s="1" t="s">
        <v>51</v>
      </c>
      <c r="B27" s="2" t="s">
        <v>5</v>
      </c>
      <c r="C27" s="3">
        <v>516</v>
      </c>
      <c r="D27" s="3" t="s">
        <v>52</v>
      </c>
      <c r="E27" s="7">
        <v>65932</v>
      </c>
      <c r="F27" s="10">
        <f t="shared" si="0"/>
        <v>34020912</v>
      </c>
    </row>
    <row r="28" spans="1:6" ht="16.2" thickBot="1" x14ac:dyDescent="0.35">
      <c r="A28" s="1" t="s">
        <v>53</v>
      </c>
      <c r="B28" s="2" t="s">
        <v>54</v>
      </c>
      <c r="C28" s="3">
        <v>258</v>
      </c>
      <c r="D28" s="3" t="s">
        <v>38</v>
      </c>
      <c r="E28" s="7">
        <v>28000</v>
      </c>
      <c r="F28" s="10">
        <f t="shared" si="0"/>
        <v>7224000</v>
      </c>
    </row>
    <row r="29" spans="1:6" ht="23.4" x14ac:dyDescent="0.3">
      <c r="A29" s="6"/>
    </row>
    <row r="31" spans="1:6" x14ac:dyDescent="0.3">
      <c r="F31" s="10">
        <f>SUM(F3:F28)</f>
        <v>644719323.84000003</v>
      </c>
    </row>
    <row r="32" spans="1:6" x14ac:dyDescent="0.3">
      <c r="F32" s="10">
        <f>F31/258</f>
        <v>2498912.1079069767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2026-03-12T06:19:00Z</dcterms:created>
  <dcterms:modified xsi:type="dcterms:W3CDTF">2026-03-12T06:31:35Z</dcterms:modified>
</cp:coreProperties>
</file>